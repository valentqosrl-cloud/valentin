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Récapitulatif" sheetId="2" state="visible" r:id="rId2"/>
    <sheet name="Paramètres" sheetId="3" state="visible" r:id="rId3"/>
    <sheet name="Charges fixes" sheetId="4" state="visible" r:id="rId4"/>
    <sheet name="Octobre 2026" sheetId="5" state="visible" r:id="rId5"/>
    <sheet name="Novembre 2026" sheetId="6" state="visible" r:id="rId6"/>
    <sheet name="Décembre 2026" sheetId="7" state="visible" r:id="rId7"/>
    <sheet name="Janvier 2027" sheetId="8" state="visible" r:id="rId8"/>
    <sheet name="Février 2027" sheetId="9" state="visible" r:id="rId9"/>
    <sheet name="Mars 2027" sheetId="10" state="visible" r:id="rId10"/>
    <sheet name="Avril 2027" sheetId="11" state="visible" r:id="rId11"/>
    <sheet name="Mai 2027" sheetId="12" state="visible" r:id="rId12"/>
    <sheet name="Juin 2027" sheetId="13" state="visible" r:id="rId13"/>
    <sheet name="Juillet 2027" sheetId="14" state="visible" r:id="rId14"/>
    <sheet name="Août 2027" sheetId="15" state="visible" r:id="rId15"/>
    <sheet name="Septembre 202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;-#,##0.00 €;&quot;-&quot;"/>
    <numFmt numFmtId="165" formatCode="yyyy-mm-dd"/>
    <numFmt numFmtId="166" formatCode="mmmm yyyy"/>
    <numFmt numFmtId="167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b val="1"/>
      <color rgb="00000000"/>
      <sz val="12"/>
    </font>
    <font>
      <name val="Arial"/>
      <color rgb="00808080"/>
      <sz val="10"/>
    </font>
    <font>
      <name val="Arial"/>
      <b val="1"/>
      <color rgb="001F3864"/>
      <sz val="10"/>
    </font>
    <font>
      <name val="Arial"/>
      <color rgb="00008000"/>
      <sz val="10"/>
    </font>
    <font>
      <name val="Arial"/>
      <i val="1"/>
      <color rgb="00000000"/>
      <sz val="10"/>
    </font>
    <font>
      <name val="Arial"/>
      <b val="1"/>
      <color rgb="00008000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DB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4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1" fillId="0" borderId="1" pivotButton="0" quotePrefix="0" xfId="0"/>
    <xf numFmtId="164" fontId="4" fillId="0" borderId="1" pivotButton="0" quotePrefix="0" xfId="0"/>
    <xf numFmtId="164" fontId="7" fillId="0" borderId="1" pivotButton="0" quotePrefix="0" xfId="0"/>
    <xf numFmtId="164" fontId="12" fillId="0" borderId="1" pivotButton="0" quotePrefix="0" xfId="0"/>
    <xf numFmtId="164" fontId="0" fillId="0" borderId="1" pivotButton="0" quotePrefix="0" xfId="0"/>
    <xf numFmtId="0" fontId="7" fillId="4" borderId="1" pivotButton="0" quotePrefix="0" xfId="0"/>
    <xf numFmtId="164" fontId="13" fillId="4" borderId="1" pivotButton="0" quotePrefix="0" xfId="0"/>
    <xf numFmtId="164" fontId="7" fillId="4" borderId="1" pivotButton="0" quotePrefix="0" xfId="0"/>
    <xf numFmtId="0" fontId="7" fillId="0" borderId="1" pivotButton="0" quotePrefix="0" xfId="0"/>
    <xf numFmtId="164" fontId="11" fillId="0" borderId="1" pivotButton="0" quotePrefix="0" xfId="0"/>
    <xf numFmtId="0" fontId="1" fillId="0" borderId="0" pivotButton="0" quotePrefix="0" xfId="0"/>
    <xf numFmtId="0" fontId="3" fillId="3" borderId="1" pivotButton="0" quotePrefix="0" xfId="0"/>
    <xf numFmtId="0" fontId="3" fillId="0" borderId="0" pivotButton="0" quotePrefix="0" xfId="0"/>
    <xf numFmtId="0" fontId="7" fillId="0" borderId="0" pivotButton="0" quotePrefix="0" xfId="0"/>
    <xf numFmtId="164" fontId="8" fillId="4" borderId="0" pivotButton="0" quotePrefix="0" xfId="0"/>
    <xf numFmtId="164" fontId="3" fillId="3" borderId="1" pivotButton="0" quotePrefix="0" xfId="0"/>
    <xf numFmtId="0" fontId="9" fillId="5" borderId="1" pivotButton="0" quotePrefix="0" xfId="0"/>
    <xf numFmtId="0" fontId="0" fillId="4" borderId="1" pivotButton="0" quotePrefix="0" xfId="0"/>
    <xf numFmtId="166" fontId="4" fillId="0" borderId="0" pivotButton="0" quotePrefix="0" xfId="0"/>
    <xf numFmtId="164" fontId="8" fillId="4" borderId="1" pivotButton="0" quotePrefix="0" xfId="0"/>
    <xf numFmtId="0" fontId="4" fillId="0" borderId="1" pivotButton="0" quotePrefix="0" xfId="0"/>
    <xf numFmtId="167" fontId="4" fillId="0" borderId="1" pivotButton="0" quotePrefix="0" xfId="0"/>
    <xf numFmtId="0" fontId="10" fillId="6" borderId="0" pivotButton="0" quotePrefix="0" xfId="0"/>
    <xf numFmtId="0" fontId="0" fillId="6" borderId="0" pivotButton="0" quotePrefix="0" xfId="0"/>
    <xf numFmtId="167" fontId="3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ont>
        <name val="Arial"/>
        <strike val="0"/>
        <color rgb="007F7F7F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des dépenses par mois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'Récapitulatif'!$B$4:$M$4</f>
            </numRef>
          </cat>
          <val>
            <numRef>
              <f>'Récapitulatif'!$B$36:$M$36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Guide</author>
  </authors>
  <commentList>
    <comment ref="A35" authorId="0" shapeId="0">
      <text>
        <t>Montants saisis sans catégorie (ou avec une catégorie absente de la liste Paramètres).</t>
      </text>
    </comment>
  </commentList>
</comments>
</file>

<file path=xl/comments/comment2.xml><?xml version="1.0" encoding="utf-8"?>
<comments xmlns="http://schemas.openxmlformats.org/spreadsheetml/2006/main">
  <authors>
    <author>Guide</author>
  </authors>
  <commentList>
    <comment ref="E5" authorId="0" shapeId="0">
      <text>
        <t>Obligatoire pour Trimestriel / Semestriel / Annuel : le mois où tombe le paiement (ex. Assurance auto annuelle → Janvier).</t>
      </text>
    </comment>
    <comment ref="F5" authorId="0" shapeId="0">
      <text>
        <t>Jour du mois où le montant est prélevé / à payer. Si le mois est plus court (ex. 31 en février), le dernier jour du mois est utilisé.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 D'EMPLOI — Tableau des dépenses mensuelles</t>
        </is>
      </c>
    </row>
    <row r="2">
      <c r="A2" s="2" t="inlineStr"/>
    </row>
    <row r="3">
      <c r="A3" s="3" t="inlineStr">
        <is>
          <t>1. Onglet « Charges fixes » : saisissez UNE SEULE FOIS vos abonnements et factures récurrentes</t>
        </is>
      </c>
    </row>
    <row r="4">
      <c r="A4" s="2" t="inlineStr">
        <is>
          <t xml:space="preserve">   (loyer, garage, téléphone, wifi, mutuelle, assurance auto, Shopify, Google/Meta/TikTok Ads…).</t>
        </is>
      </c>
    </row>
    <row r="5">
      <c r="A5" s="2" t="inlineStr">
        <is>
          <t xml:space="preserve">   → Montant, fréquence (Mensuel / Trimestriel / Semestriel / Annuel), jour du prélèvement, mode de paiement.</t>
        </is>
      </c>
    </row>
    <row r="6">
      <c r="A6" s="2" t="inlineStr">
        <is>
          <t xml:space="preserve">   → Pour une charge non mensuelle, indiquez le « Mois du 1er paiement » (ex. assurance auto annuelle → Janvier).</t>
        </is>
      </c>
    </row>
    <row r="7">
      <c r="A7" s="2" t="inlineStr">
        <is>
          <t xml:space="preserve">   Exemple : Logement | Loyer | 650 € | Mensuel | (vide) | 5 | Virement  → apparaît le 05 de chaque mois.</t>
        </is>
      </c>
    </row>
    <row r="8">
      <c r="A8" s="2" t="inlineStr"/>
    </row>
    <row r="9">
      <c r="A9" s="3" t="inlineStr">
        <is>
          <t>2. Onglets mensuels (Octobre 2026 → Septembre 2027) : les charges fixes s'y affichent automatiquement,</t>
        </is>
      </c>
    </row>
    <row r="10">
      <c r="A10" s="2" t="inlineStr">
        <is>
          <t xml:space="preserve">   avec la date exacte de paiement / prélèvement.</t>
        </is>
      </c>
    </row>
    <row r="11">
      <c r="A11" s="2" t="inlineStr">
        <is>
          <t xml:space="preserve">   → En bas, section « Dépenses ponctuelles » : ajoutez les frais du mois (facture d'hôpital, réparation…).</t>
        </is>
      </c>
    </row>
    <row r="12">
      <c r="A12" s="2" t="inlineStr">
        <is>
          <t xml:space="preserve">   → Colonne « Payé ? » : mettez Oui quand l'argent est sorti. Rouge = en retard, orange = dans les 7 jours.</t>
        </is>
      </c>
    </row>
    <row r="13">
      <c r="A13" s="2" t="inlineStr">
        <is>
          <t xml:space="preserve">   → Un montant différent ce mois-ci (ex. facture d'électricité) ? Tapez-le directement dans la cellule.</t>
        </is>
      </c>
    </row>
    <row r="14">
      <c r="A14" s="2" t="inlineStr"/>
    </row>
    <row r="15">
      <c r="A15" s="3" t="inlineStr">
        <is>
          <t>3. Onglet « Récapitulatif » : totaux par catégorie et par mois, total annuel, moyenne et graphique.</t>
        </is>
      </c>
    </row>
    <row r="16">
      <c r="A16" s="2" t="inlineStr">
        <is>
          <t xml:space="preserve">   Rien à saisir, tout s'additionne tout seul.</t>
        </is>
      </c>
    </row>
    <row r="17">
      <c r="A17" s="2" t="inlineStr"/>
    </row>
    <row r="18">
      <c r="A18" s="3" t="inlineStr">
        <is>
          <t>4. Onglet « Paramètres » : vous pouvez ajouter ou renommer des catégories et modes de paiement.</t>
        </is>
      </c>
    </row>
    <row r="19">
      <c r="A19" s="2" t="inlineStr"/>
    </row>
    <row r="20">
      <c r="A20" s="3" t="inlineStr">
        <is>
          <t>Code couleur :</t>
        </is>
      </c>
    </row>
    <row r="21">
      <c r="A21" s="4" t="inlineStr">
        <is>
          <t xml:space="preserve">   Cellules jaunes / texte bleu = à remplir par vous.</t>
        </is>
      </c>
    </row>
    <row r="22">
      <c r="A22" s="2" t="inlineStr">
        <is>
          <t xml:space="preserve">   Texte noir = formules automatiques (ne pas effacer).  Texte vert = repris d'un autre onglet.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Récapitulatif des dépenses — Octobre 2026 à Septembre 2027</t>
        </is>
      </c>
    </row>
    <row r="2">
      <c r="A2" s="5" t="inlineStr">
        <is>
          <t>Tout se calcule automatiquement à partir des onglets mensuels. Ne rien saisir ici.</t>
        </is>
      </c>
    </row>
    <row r="4" ht="30" customHeight="1">
      <c r="A4" s="6" t="inlineStr">
        <is>
          <t>Catégorie</t>
        </is>
      </c>
      <c r="B4" s="6" t="inlineStr">
        <is>
          <t>Octobre 26</t>
        </is>
      </c>
      <c r="C4" s="6" t="inlineStr">
        <is>
          <t>Novembre 26</t>
        </is>
      </c>
      <c r="D4" s="6" t="inlineStr">
        <is>
          <t>Décembre 26</t>
        </is>
      </c>
      <c r="E4" s="6" t="inlineStr">
        <is>
          <t>Janvier 27</t>
        </is>
      </c>
      <c r="F4" s="6" t="inlineStr">
        <is>
          <t>Février 27</t>
        </is>
      </c>
      <c r="G4" s="6" t="inlineStr">
        <is>
          <t>Mars 27</t>
        </is>
      </c>
      <c r="H4" s="6" t="inlineStr">
        <is>
          <t>Avril 27</t>
        </is>
      </c>
      <c r="I4" s="6" t="inlineStr">
        <is>
          <t>Mai 27</t>
        </is>
      </c>
      <c r="J4" s="6" t="inlineStr">
        <is>
          <t>Juin 27</t>
        </is>
      </c>
      <c r="K4" s="6" t="inlineStr">
        <is>
          <t>Juillet 27</t>
        </is>
      </c>
      <c r="L4" s="6" t="inlineStr">
        <is>
          <t>Août 27</t>
        </is>
      </c>
      <c r="M4" s="6" t="inlineStr">
        <is>
          <t>Septembre 27</t>
        </is>
      </c>
      <c r="N4" s="6" t="inlineStr">
        <is>
          <t>Total année</t>
        </is>
      </c>
      <c r="O4" s="6" t="inlineStr">
        <is>
          <t>Moyenne / mois</t>
        </is>
      </c>
    </row>
    <row r="5">
      <c r="A5" s="7">
        <f>IF(Paramètres!A4="","",Paramètres!A4)</f>
        <v/>
      </c>
      <c r="B5" s="8">
        <f>IF($A5="","",SUMIFS('Octobre 2026'!$C$8:$C$88,'Octobre 2026'!$A$8:$A$88,$A5))</f>
        <v/>
      </c>
      <c r="C5" s="8">
        <f>IF($A5="","",SUMIFS('Novembre 2026'!$C$8:$C$88,'Novembre 2026'!$A$8:$A$88,$A5))</f>
        <v/>
      </c>
      <c r="D5" s="8">
        <f>IF($A5="","",SUMIFS('Décembre 2026'!$C$8:$C$88,'Décembre 2026'!$A$8:$A$88,$A5))</f>
        <v/>
      </c>
      <c r="E5" s="8">
        <f>IF($A5="","",SUMIFS('Janvier 2027'!$C$8:$C$88,'Janvier 2027'!$A$8:$A$88,$A5))</f>
        <v/>
      </c>
      <c r="F5" s="8">
        <f>IF($A5="","",SUMIFS('Février 2027'!$C$8:$C$88,'Février 2027'!$A$8:$A$88,$A5))</f>
        <v/>
      </c>
      <c r="G5" s="8">
        <f>IF($A5="","",SUMIFS('Mars 2027'!$C$8:$C$88,'Mars 2027'!$A$8:$A$88,$A5))</f>
        <v/>
      </c>
      <c r="H5" s="8">
        <f>IF($A5="","",SUMIFS('Avril 2027'!$C$8:$C$88,'Avril 2027'!$A$8:$A$88,$A5))</f>
        <v/>
      </c>
      <c r="I5" s="8">
        <f>IF($A5="","",SUMIFS('Mai 2027'!$C$8:$C$88,'Mai 2027'!$A$8:$A$88,$A5))</f>
        <v/>
      </c>
      <c r="J5" s="8">
        <f>IF($A5="","",SUMIFS('Juin 2027'!$C$8:$C$88,'Juin 2027'!$A$8:$A$88,$A5))</f>
        <v/>
      </c>
      <c r="K5" s="8">
        <f>IF($A5="","",SUMIFS('Juillet 2027'!$C$8:$C$88,'Juillet 2027'!$A$8:$A$88,$A5))</f>
        <v/>
      </c>
      <c r="L5" s="8">
        <f>IF($A5="","",SUMIFS('Août 2027'!$C$8:$C$88,'Août 2027'!$A$8:$A$88,$A5))</f>
        <v/>
      </c>
      <c r="M5" s="8">
        <f>IF($A5="","",SUMIFS('Septembre 2027'!$C$8:$C$88,'Septembre 2027'!$A$8:$A$88,$A5))</f>
        <v/>
      </c>
      <c r="N5" s="9">
        <f>IF($A5="","",SUM(B5:M5))</f>
        <v/>
      </c>
      <c r="O5" s="8">
        <f>IF($A5="","",N5/12)</f>
        <v/>
      </c>
    </row>
    <row r="6">
      <c r="A6" s="7">
        <f>IF(Paramètres!A5="","",Paramètres!A5)</f>
        <v/>
      </c>
      <c r="B6" s="8">
        <f>IF($A6="","",SUMIFS('Octobre 2026'!$C$8:$C$88,'Octobre 2026'!$A$8:$A$88,$A6))</f>
        <v/>
      </c>
      <c r="C6" s="8">
        <f>IF($A6="","",SUMIFS('Novembre 2026'!$C$8:$C$88,'Novembre 2026'!$A$8:$A$88,$A6))</f>
        <v/>
      </c>
      <c r="D6" s="8">
        <f>IF($A6="","",SUMIFS('Décembre 2026'!$C$8:$C$88,'Décembre 2026'!$A$8:$A$88,$A6))</f>
        <v/>
      </c>
      <c r="E6" s="8">
        <f>IF($A6="","",SUMIFS('Janvier 2027'!$C$8:$C$88,'Janvier 2027'!$A$8:$A$88,$A6))</f>
        <v/>
      </c>
      <c r="F6" s="8">
        <f>IF($A6="","",SUMIFS('Février 2027'!$C$8:$C$88,'Février 2027'!$A$8:$A$88,$A6))</f>
        <v/>
      </c>
      <c r="G6" s="8">
        <f>IF($A6="","",SUMIFS('Mars 2027'!$C$8:$C$88,'Mars 2027'!$A$8:$A$88,$A6))</f>
        <v/>
      </c>
      <c r="H6" s="8">
        <f>IF($A6="","",SUMIFS('Avril 2027'!$C$8:$C$88,'Avril 2027'!$A$8:$A$88,$A6))</f>
        <v/>
      </c>
      <c r="I6" s="8">
        <f>IF($A6="","",SUMIFS('Mai 2027'!$C$8:$C$88,'Mai 2027'!$A$8:$A$88,$A6))</f>
        <v/>
      </c>
      <c r="J6" s="8">
        <f>IF($A6="","",SUMIFS('Juin 2027'!$C$8:$C$88,'Juin 2027'!$A$8:$A$88,$A6))</f>
        <v/>
      </c>
      <c r="K6" s="8">
        <f>IF($A6="","",SUMIFS('Juillet 2027'!$C$8:$C$88,'Juillet 2027'!$A$8:$A$88,$A6))</f>
        <v/>
      </c>
      <c r="L6" s="8">
        <f>IF($A6="","",SUMIFS('Août 2027'!$C$8:$C$88,'Août 2027'!$A$8:$A$88,$A6))</f>
        <v/>
      </c>
      <c r="M6" s="8">
        <f>IF($A6="","",SUMIFS('Septembre 2027'!$C$8:$C$88,'Septembre 2027'!$A$8:$A$88,$A6))</f>
        <v/>
      </c>
      <c r="N6" s="9">
        <f>IF($A6="","",SUM(B6:M6))</f>
        <v/>
      </c>
      <c r="O6" s="8">
        <f>IF($A6="","",N6/12)</f>
        <v/>
      </c>
    </row>
    <row r="7">
      <c r="A7" s="7">
        <f>IF(Paramètres!A6="","",Paramètres!A6)</f>
        <v/>
      </c>
      <c r="B7" s="8">
        <f>IF($A7="","",SUMIFS('Octobre 2026'!$C$8:$C$88,'Octobre 2026'!$A$8:$A$88,$A7))</f>
        <v/>
      </c>
      <c r="C7" s="8">
        <f>IF($A7="","",SUMIFS('Novembre 2026'!$C$8:$C$88,'Novembre 2026'!$A$8:$A$88,$A7))</f>
        <v/>
      </c>
      <c r="D7" s="8">
        <f>IF($A7="","",SUMIFS('Décembre 2026'!$C$8:$C$88,'Décembre 2026'!$A$8:$A$88,$A7))</f>
        <v/>
      </c>
      <c r="E7" s="8">
        <f>IF($A7="","",SUMIFS('Janvier 2027'!$C$8:$C$88,'Janvier 2027'!$A$8:$A$88,$A7))</f>
        <v/>
      </c>
      <c r="F7" s="8">
        <f>IF($A7="","",SUMIFS('Février 2027'!$C$8:$C$88,'Février 2027'!$A$8:$A$88,$A7))</f>
        <v/>
      </c>
      <c r="G7" s="8">
        <f>IF($A7="","",SUMIFS('Mars 2027'!$C$8:$C$88,'Mars 2027'!$A$8:$A$88,$A7))</f>
        <v/>
      </c>
      <c r="H7" s="8">
        <f>IF($A7="","",SUMIFS('Avril 2027'!$C$8:$C$88,'Avril 2027'!$A$8:$A$88,$A7))</f>
        <v/>
      </c>
      <c r="I7" s="8">
        <f>IF($A7="","",SUMIFS('Mai 2027'!$C$8:$C$88,'Mai 2027'!$A$8:$A$88,$A7))</f>
        <v/>
      </c>
      <c r="J7" s="8">
        <f>IF($A7="","",SUMIFS('Juin 2027'!$C$8:$C$88,'Juin 2027'!$A$8:$A$88,$A7))</f>
        <v/>
      </c>
      <c r="K7" s="8">
        <f>IF($A7="","",SUMIFS('Juillet 2027'!$C$8:$C$88,'Juillet 2027'!$A$8:$A$88,$A7))</f>
        <v/>
      </c>
      <c r="L7" s="8">
        <f>IF($A7="","",SUMIFS('Août 2027'!$C$8:$C$88,'Août 2027'!$A$8:$A$88,$A7))</f>
        <v/>
      </c>
      <c r="M7" s="8">
        <f>IF($A7="","",SUMIFS('Septembre 2027'!$C$8:$C$88,'Septembre 2027'!$A$8:$A$88,$A7))</f>
        <v/>
      </c>
      <c r="N7" s="9">
        <f>IF($A7="","",SUM(B7:M7))</f>
        <v/>
      </c>
      <c r="O7" s="8">
        <f>IF($A7="","",N7/12)</f>
        <v/>
      </c>
    </row>
    <row r="8">
      <c r="A8" s="7">
        <f>IF(Paramètres!A7="","",Paramètres!A7)</f>
        <v/>
      </c>
      <c r="B8" s="8">
        <f>IF($A8="","",SUMIFS('Octobre 2026'!$C$8:$C$88,'Octobre 2026'!$A$8:$A$88,$A8))</f>
        <v/>
      </c>
      <c r="C8" s="8">
        <f>IF($A8="","",SUMIFS('Novembre 2026'!$C$8:$C$88,'Novembre 2026'!$A$8:$A$88,$A8))</f>
        <v/>
      </c>
      <c r="D8" s="8">
        <f>IF($A8="","",SUMIFS('Décembre 2026'!$C$8:$C$88,'Décembre 2026'!$A$8:$A$88,$A8))</f>
        <v/>
      </c>
      <c r="E8" s="8">
        <f>IF($A8="","",SUMIFS('Janvier 2027'!$C$8:$C$88,'Janvier 2027'!$A$8:$A$88,$A8))</f>
        <v/>
      </c>
      <c r="F8" s="8">
        <f>IF($A8="","",SUMIFS('Février 2027'!$C$8:$C$88,'Février 2027'!$A$8:$A$88,$A8))</f>
        <v/>
      </c>
      <c r="G8" s="8">
        <f>IF($A8="","",SUMIFS('Mars 2027'!$C$8:$C$88,'Mars 2027'!$A$8:$A$88,$A8))</f>
        <v/>
      </c>
      <c r="H8" s="8">
        <f>IF($A8="","",SUMIFS('Avril 2027'!$C$8:$C$88,'Avril 2027'!$A$8:$A$88,$A8))</f>
        <v/>
      </c>
      <c r="I8" s="8">
        <f>IF($A8="","",SUMIFS('Mai 2027'!$C$8:$C$88,'Mai 2027'!$A$8:$A$88,$A8))</f>
        <v/>
      </c>
      <c r="J8" s="8">
        <f>IF($A8="","",SUMIFS('Juin 2027'!$C$8:$C$88,'Juin 2027'!$A$8:$A$88,$A8))</f>
        <v/>
      </c>
      <c r="K8" s="8">
        <f>IF($A8="","",SUMIFS('Juillet 2027'!$C$8:$C$88,'Juillet 2027'!$A$8:$A$88,$A8))</f>
        <v/>
      </c>
      <c r="L8" s="8">
        <f>IF($A8="","",SUMIFS('Août 2027'!$C$8:$C$88,'Août 2027'!$A$8:$A$88,$A8))</f>
        <v/>
      </c>
      <c r="M8" s="8">
        <f>IF($A8="","",SUMIFS('Septembre 2027'!$C$8:$C$88,'Septembre 2027'!$A$8:$A$88,$A8))</f>
        <v/>
      </c>
      <c r="N8" s="9">
        <f>IF($A8="","",SUM(B8:M8))</f>
        <v/>
      </c>
      <c r="O8" s="8">
        <f>IF($A8="","",N8/12)</f>
        <v/>
      </c>
    </row>
    <row r="9">
      <c r="A9" s="7">
        <f>IF(Paramètres!A8="","",Paramètres!A8)</f>
        <v/>
      </c>
      <c r="B9" s="8">
        <f>IF($A9="","",SUMIFS('Octobre 2026'!$C$8:$C$88,'Octobre 2026'!$A$8:$A$88,$A9))</f>
        <v/>
      </c>
      <c r="C9" s="8">
        <f>IF($A9="","",SUMIFS('Novembre 2026'!$C$8:$C$88,'Novembre 2026'!$A$8:$A$88,$A9))</f>
        <v/>
      </c>
      <c r="D9" s="8">
        <f>IF($A9="","",SUMIFS('Décembre 2026'!$C$8:$C$88,'Décembre 2026'!$A$8:$A$88,$A9))</f>
        <v/>
      </c>
      <c r="E9" s="8">
        <f>IF($A9="","",SUMIFS('Janvier 2027'!$C$8:$C$88,'Janvier 2027'!$A$8:$A$88,$A9))</f>
        <v/>
      </c>
      <c r="F9" s="8">
        <f>IF($A9="","",SUMIFS('Février 2027'!$C$8:$C$88,'Février 2027'!$A$8:$A$88,$A9))</f>
        <v/>
      </c>
      <c r="G9" s="8">
        <f>IF($A9="","",SUMIFS('Mars 2027'!$C$8:$C$88,'Mars 2027'!$A$8:$A$88,$A9))</f>
        <v/>
      </c>
      <c r="H9" s="8">
        <f>IF($A9="","",SUMIFS('Avril 2027'!$C$8:$C$88,'Avril 2027'!$A$8:$A$88,$A9))</f>
        <v/>
      </c>
      <c r="I9" s="8">
        <f>IF($A9="","",SUMIFS('Mai 2027'!$C$8:$C$88,'Mai 2027'!$A$8:$A$88,$A9))</f>
        <v/>
      </c>
      <c r="J9" s="8">
        <f>IF($A9="","",SUMIFS('Juin 2027'!$C$8:$C$88,'Juin 2027'!$A$8:$A$88,$A9))</f>
        <v/>
      </c>
      <c r="K9" s="8">
        <f>IF($A9="","",SUMIFS('Juillet 2027'!$C$8:$C$88,'Juillet 2027'!$A$8:$A$88,$A9))</f>
        <v/>
      </c>
      <c r="L9" s="8">
        <f>IF($A9="","",SUMIFS('Août 2027'!$C$8:$C$88,'Août 2027'!$A$8:$A$88,$A9))</f>
        <v/>
      </c>
      <c r="M9" s="8">
        <f>IF($A9="","",SUMIFS('Septembre 2027'!$C$8:$C$88,'Septembre 2027'!$A$8:$A$88,$A9))</f>
        <v/>
      </c>
      <c r="N9" s="9">
        <f>IF($A9="","",SUM(B9:M9))</f>
        <v/>
      </c>
      <c r="O9" s="8">
        <f>IF($A9="","",N9/12)</f>
        <v/>
      </c>
    </row>
    <row r="10">
      <c r="A10" s="7">
        <f>IF(Paramètres!A9="","",Paramètres!A9)</f>
        <v/>
      </c>
      <c r="B10" s="8">
        <f>IF($A10="","",SUMIFS('Octobre 2026'!$C$8:$C$88,'Octobre 2026'!$A$8:$A$88,$A10))</f>
        <v/>
      </c>
      <c r="C10" s="8">
        <f>IF($A10="","",SUMIFS('Novembre 2026'!$C$8:$C$88,'Novembre 2026'!$A$8:$A$88,$A10))</f>
        <v/>
      </c>
      <c r="D10" s="8">
        <f>IF($A10="","",SUMIFS('Décembre 2026'!$C$8:$C$88,'Décembre 2026'!$A$8:$A$88,$A10))</f>
        <v/>
      </c>
      <c r="E10" s="8">
        <f>IF($A10="","",SUMIFS('Janvier 2027'!$C$8:$C$88,'Janvier 2027'!$A$8:$A$88,$A10))</f>
        <v/>
      </c>
      <c r="F10" s="8">
        <f>IF($A10="","",SUMIFS('Février 2027'!$C$8:$C$88,'Février 2027'!$A$8:$A$88,$A10))</f>
        <v/>
      </c>
      <c r="G10" s="8">
        <f>IF($A10="","",SUMIFS('Mars 2027'!$C$8:$C$88,'Mars 2027'!$A$8:$A$88,$A10))</f>
        <v/>
      </c>
      <c r="H10" s="8">
        <f>IF($A10="","",SUMIFS('Avril 2027'!$C$8:$C$88,'Avril 2027'!$A$8:$A$88,$A10))</f>
        <v/>
      </c>
      <c r="I10" s="8">
        <f>IF($A10="","",SUMIFS('Mai 2027'!$C$8:$C$88,'Mai 2027'!$A$8:$A$88,$A10))</f>
        <v/>
      </c>
      <c r="J10" s="8">
        <f>IF($A10="","",SUMIFS('Juin 2027'!$C$8:$C$88,'Juin 2027'!$A$8:$A$88,$A10))</f>
        <v/>
      </c>
      <c r="K10" s="8">
        <f>IF($A10="","",SUMIFS('Juillet 2027'!$C$8:$C$88,'Juillet 2027'!$A$8:$A$88,$A10))</f>
        <v/>
      </c>
      <c r="L10" s="8">
        <f>IF($A10="","",SUMIFS('Août 2027'!$C$8:$C$88,'Août 2027'!$A$8:$A$88,$A10))</f>
        <v/>
      </c>
      <c r="M10" s="8">
        <f>IF($A10="","",SUMIFS('Septembre 2027'!$C$8:$C$88,'Septembre 2027'!$A$8:$A$88,$A10))</f>
        <v/>
      </c>
      <c r="N10" s="9">
        <f>IF($A10="","",SUM(B10:M10))</f>
        <v/>
      </c>
      <c r="O10" s="8">
        <f>IF($A10="","",N10/12)</f>
        <v/>
      </c>
    </row>
    <row r="11">
      <c r="A11" s="7">
        <f>IF(Paramètres!A10="","",Paramètres!A10)</f>
        <v/>
      </c>
      <c r="B11" s="8">
        <f>IF($A11="","",SUMIFS('Octobre 2026'!$C$8:$C$88,'Octobre 2026'!$A$8:$A$88,$A11))</f>
        <v/>
      </c>
      <c r="C11" s="8">
        <f>IF($A11="","",SUMIFS('Novembre 2026'!$C$8:$C$88,'Novembre 2026'!$A$8:$A$88,$A11))</f>
        <v/>
      </c>
      <c r="D11" s="8">
        <f>IF($A11="","",SUMIFS('Décembre 2026'!$C$8:$C$88,'Décembre 2026'!$A$8:$A$88,$A11))</f>
        <v/>
      </c>
      <c r="E11" s="8">
        <f>IF($A11="","",SUMIFS('Janvier 2027'!$C$8:$C$88,'Janvier 2027'!$A$8:$A$88,$A11))</f>
        <v/>
      </c>
      <c r="F11" s="8">
        <f>IF($A11="","",SUMIFS('Février 2027'!$C$8:$C$88,'Février 2027'!$A$8:$A$88,$A11))</f>
        <v/>
      </c>
      <c r="G11" s="8">
        <f>IF($A11="","",SUMIFS('Mars 2027'!$C$8:$C$88,'Mars 2027'!$A$8:$A$88,$A11))</f>
        <v/>
      </c>
      <c r="H11" s="8">
        <f>IF($A11="","",SUMIFS('Avril 2027'!$C$8:$C$88,'Avril 2027'!$A$8:$A$88,$A11))</f>
        <v/>
      </c>
      <c r="I11" s="8">
        <f>IF($A11="","",SUMIFS('Mai 2027'!$C$8:$C$88,'Mai 2027'!$A$8:$A$88,$A11))</f>
        <v/>
      </c>
      <c r="J11" s="8">
        <f>IF($A11="","",SUMIFS('Juin 2027'!$C$8:$C$88,'Juin 2027'!$A$8:$A$88,$A11))</f>
        <v/>
      </c>
      <c r="K11" s="8">
        <f>IF($A11="","",SUMIFS('Juillet 2027'!$C$8:$C$88,'Juillet 2027'!$A$8:$A$88,$A11))</f>
        <v/>
      </c>
      <c r="L11" s="8">
        <f>IF($A11="","",SUMIFS('Août 2027'!$C$8:$C$88,'Août 2027'!$A$8:$A$88,$A11))</f>
        <v/>
      </c>
      <c r="M11" s="8">
        <f>IF($A11="","",SUMIFS('Septembre 2027'!$C$8:$C$88,'Septembre 2027'!$A$8:$A$88,$A11))</f>
        <v/>
      </c>
      <c r="N11" s="9">
        <f>IF($A11="","",SUM(B11:M11))</f>
        <v/>
      </c>
      <c r="O11" s="8">
        <f>IF($A11="","",N11/12)</f>
        <v/>
      </c>
    </row>
    <row r="12">
      <c r="A12" s="7">
        <f>IF(Paramètres!A11="","",Paramètres!A11)</f>
        <v/>
      </c>
      <c r="B12" s="8">
        <f>IF($A12="","",SUMIFS('Octobre 2026'!$C$8:$C$88,'Octobre 2026'!$A$8:$A$88,$A12))</f>
        <v/>
      </c>
      <c r="C12" s="8">
        <f>IF($A12="","",SUMIFS('Novembre 2026'!$C$8:$C$88,'Novembre 2026'!$A$8:$A$88,$A12))</f>
        <v/>
      </c>
      <c r="D12" s="8">
        <f>IF($A12="","",SUMIFS('Décembre 2026'!$C$8:$C$88,'Décembre 2026'!$A$8:$A$88,$A12))</f>
        <v/>
      </c>
      <c r="E12" s="8">
        <f>IF($A12="","",SUMIFS('Janvier 2027'!$C$8:$C$88,'Janvier 2027'!$A$8:$A$88,$A12))</f>
        <v/>
      </c>
      <c r="F12" s="8">
        <f>IF($A12="","",SUMIFS('Février 2027'!$C$8:$C$88,'Février 2027'!$A$8:$A$88,$A12))</f>
        <v/>
      </c>
      <c r="G12" s="8">
        <f>IF($A12="","",SUMIFS('Mars 2027'!$C$8:$C$88,'Mars 2027'!$A$8:$A$88,$A12))</f>
        <v/>
      </c>
      <c r="H12" s="8">
        <f>IF($A12="","",SUMIFS('Avril 2027'!$C$8:$C$88,'Avril 2027'!$A$8:$A$88,$A12))</f>
        <v/>
      </c>
      <c r="I12" s="8">
        <f>IF($A12="","",SUMIFS('Mai 2027'!$C$8:$C$88,'Mai 2027'!$A$8:$A$88,$A12))</f>
        <v/>
      </c>
      <c r="J12" s="8">
        <f>IF($A12="","",SUMIFS('Juin 2027'!$C$8:$C$88,'Juin 2027'!$A$8:$A$88,$A12))</f>
        <v/>
      </c>
      <c r="K12" s="8">
        <f>IF($A12="","",SUMIFS('Juillet 2027'!$C$8:$C$88,'Juillet 2027'!$A$8:$A$88,$A12))</f>
        <v/>
      </c>
      <c r="L12" s="8">
        <f>IF($A12="","",SUMIFS('Août 2027'!$C$8:$C$88,'Août 2027'!$A$8:$A$88,$A12))</f>
        <v/>
      </c>
      <c r="M12" s="8">
        <f>IF($A12="","",SUMIFS('Septembre 2027'!$C$8:$C$88,'Septembre 2027'!$A$8:$A$88,$A12))</f>
        <v/>
      </c>
      <c r="N12" s="9">
        <f>IF($A12="","",SUM(B12:M12))</f>
        <v/>
      </c>
      <c r="O12" s="8">
        <f>IF($A12="","",N12/12)</f>
        <v/>
      </c>
    </row>
    <row r="13">
      <c r="A13" s="7">
        <f>IF(Paramètres!A12="","",Paramètres!A12)</f>
        <v/>
      </c>
      <c r="B13" s="8">
        <f>IF($A13="","",SUMIFS('Octobre 2026'!$C$8:$C$88,'Octobre 2026'!$A$8:$A$88,$A13))</f>
        <v/>
      </c>
      <c r="C13" s="8">
        <f>IF($A13="","",SUMIFS('Novembre 2026'!$C$8:$C$88,'Novembre 2026'!$A$8:$A$88,$A13))</f>
        <v/>
      </c>
      <c r="D13" s="8">
        <f>IF($A13="","",SUMIFS('Décembre 2026'!$C$8:$C$88,'Décembre 2026'!$A$8:$A$88,$A13))</f>
        <v/>
      </c>
      <c r="E13" s="8">
        <f>IF($A13="","",SUMIFS('Janvier 2027'!$C$8:$C$88,'Janvier 2027'!$A$8:$A$88,$A13))</f>
        <v/>
      </c>
      <c r="F13" s="8">
        <f>IF($A13="","",SUMIFS('Février 2027'!$C$8:$C$88,'Février 2027'!$A$8:$A$88,$A13))</f>
        <v/>
      </c>
      <c r="G13" s="8">
        <f>IF($A13="","",SUMIFS('Mars 2027'!$C$8:$C$88,'Mars 2027'!$A$8:$A$88,$A13))</f>
        <v/>
      </c>
      <c r="H13" s="8">
        <f>IF($A13="","",SUMIFS('Avril 2027'!$C$8:$C$88,'Avril 2027'!$A$8:$A$88,$A13))</f>
        <v/>
      </c>
      <c r="I13" s="8">
        <f>IF($A13="","",SUMIFS('Mai 2027'!$C$8:$C$88,'Mai 2027'!$A$8:$A$88,$A13))</f>
        <v/>
      </c>
      <c r="J13" s="8">
        <f>IF($A13="","",SUMIFS('Juin 2027'!$C$8:$C$88,'Juin 2027'!$A$8:$A$88,$A13))</f>
        <v/>
      </c>
      <c r="K13" s="8">
        <f>IF($A13="","",SUMIFS('Juillet 2027'!$C$8:$C$88,'Juillet 2027'!$A$8:$A$88,$A13))</f>
        <v/>
      </c>
      <c r="L13" s="8">
        <f>IF($A13="","",SUMIFS('Août 2027'!$C$8:$C$88,'Août 2027'!$A$8:$A$88,$A13))</f>
        <v/>
      </c>
      <c r="M13" s="8">
        <f>IF($A13="","",SUMIFS('Septembre 2027'!$C$8:$C$88,'Septembre 2027'!$A$8:$A$88,$A13))</f>
        <v/>
      </c>
      <c r="N13" s="9">
        <f>IF($A13="","",SUM(B13:M13))</f>
        <v/>
      </c>
      <c r="O13" s="8">
        <f>IF($A13="","",N13/12)</f>
        <v/>
      </c>
    </row>
    <row r="14">
      <c r="A14" s="7">
        <f>IF(Paramètres!A13="","",Paramètres!A13)</f>
        <v/>
      </c>
      <c r="B14" s="8">
        <f>IF($A14="","",SUMIFS('Octobre 2026'!$C$8:$C$88,'Octobre 2026'!$A$8:$A$88,$A14))</f>
        <v/>
      </c>
      <c r="C14" s="8">
        <f>IF($A14="","",SUMIFS('Novembre 2026'!$C$8:$C$88,'Novembre 2026'!$A$8:$A$88,$A14))</f>
        <v/>
      </c>
      <c r="D14" s="8">
        <f>IF($A14="","",SUMIFS('Décembre 2026'!$C$8:$C$88,'Décembre 2026'!$A$8:$A$88,$A14))</f>
        <v/>
      </c>
      <c r="E14" s="8">
        <f>IF($A14="","",SUMIFS('Janvier 2027'!$C$8:$C$88,'Janvier 2027'!$A$8:$A$88,$A14))</f>
        <v/>
      </c>
      <c r="F14" s="8">
        <f>IF($A14="","",SUMIFS('Février 2027'!$C$8:$C$88,'Février 2027'!$A$8:$A$88,$A14))</f>
        <v/>
      </c>
      <c r="G14" s="8">
        <f>IF($A14="","",SUMIFS('Mars 2027'!$C$8:$C$88,'Mars 2027'!$A$8:$A$88,$A14))</f>
        <v/>
      </c>
      <c r="H14" s="8">
        <f>IF($A14="","",SUMIFS('Avril 2027'!$C$8:$C$88,'Avril 2027'!$A$8:$A$88,$A14))</f>
        <v/>
      </c>
      <c r="I14" s="8">
        <f>IF($A14="","",SUMIFS('Mai 2027'!$C$8:$C$88,'Mai 2027'!$A$8:$A$88,$A14))</f>
        <v/>
      </c>
      <c r="J14" s="8">
        <f>IF($A14="","",SUMIFS('Juin 2027'!$C$8:$C$88,'Juin 2027'!$A$8:$A$88,$A14))</f>
        <v/>
      </c>
      <c r="K14" s="8">
        <f>IF($A14="","",SUMIFS('Juillet 2027'!$C$8:$C$88,'Juillet 2027'!$A$8:$A$88,$A14))</f>
        <v/>
      </c>
      <c r="L14" s="8">
        <f>IF($A14="","",SUMIFS('Août 2027'!$C$8:$C$88,'Août 2027'!$A$8:$A$88,$A14))</f>
        <v/>
      </c>
      <c r="M14" s="8">
        <f>IF($A14="","",SUMIFS('Septembre 2027'!$C$8:$C$88,'Septembre 2027'!$A$8:$A$88,$A14))</f>
        <v/>
      </c>
      <c r="N14" s="9">
        <f>IF($A14="","",SUM(B14:M14))</f>
        <v/>
      </c>
      <c r="O14" s="8">
        <f>IF($A14="","",N14/12)</f>
        <v/>
      </c>
    </row>
    <row r="15">
      <c r="A15" s="7">
        <f>IF(Paramètres!A14="","",Paramètres!A14)</f>
        <v/>
      </c>
      <c r="B15" s="8">
        <f>IF($A15="","",SUMIFS('Octobre 2026'!$C$8:$C$88,'Octobre 2026'!$A$8:$A$88,$A15))</f>
        <v/>
      </c>
      <c r="C15" s="8">
        <f>IF($A15="","",SUMIFS('Novembre 2026'!$C$8:$C$88,'Novembre 2026'!$A$8:$A$88,$A15))</f>
        <v/>
      </c>
      <c r="D15" s="8">
        <f>IF($A15="","",SUMIFS('Décembre 2026'!$C$8:$C$88,'Décembre 2026'!$A$8:$A$88,$A15))</f>
        <v/>
      </c>
      <c r="E15" s="8">
        <f>IF($A15="","",SUMIFS('Janvier 2027'!$C$8:$C$88,'Janvier 2027'!$A$8:$A$88,$A15))</f>
        <v/>
      </c>
      <c r="F15" s="8">
        <f>IF($A15="","",SUMIFS('Février 2027'!$C$8:$C$88,'Février 2027'!$A$8:$A$88,$A15))</f>
        <v/>
      </c>
      <c r="G15" s="8">
        <f>IF($A15="","",SUMIFS('Mars 2027'!$C$8:$C$88,'Mars 2027'!$A$8:$A$88,$A15))</f>
        <v/>
      </c>
      <c r="H15" s="8">
        <f>IF($A15="","",SUMIFS('Avril 2027'!$C$8:$C$88,'Avril 2027'!$A$8:$A$88,$A15))</f>
        <v/>
      </c>
      <c r="I15" s="8">
        <f>IF($A15="","",SUMIFS('Mai 2027'!$C$8:$C$88,'Mai 2027'!$A$8:$A$88,$A15))</f>
        <v/>
      </c>
      <c r="J15" s="8">
        <f>IF($A15="","",SUMIFS('Juin 2027'!$C$8:$C$88,'Juin 2027'!$A$8:$A$88,$A15))</f>
        <v/>
      </c>
      <c r="K15" s="8">
        <f>IF($A15="","",SUMIFS('Juillet 2027'!$C$8:$C$88,'Juillet 2027'!$A$8:$A$88,$A15))</f>
        <v/>
      </c>
      <c r="L15" s="8">
        <f>IF($A15="","",SUMIFS('Août 2027'!$C$8:$C$88,'Août 2027'!$A$8:$A$88,$A15))</f>
        <v/>
      </c>
      <c r="M15" s="8">
        <f>IF($A15="","",SUMIFS('Septembre 2027'!$C$8:$C$88,'Septembre 2027'!$A$8:$A$88,$A15))</f>
        <v/>
      </c>
      <c r="N15" s="9">
        <f>IF($A15="","",SUM(B15:M15))</f>
        <v/>
      </c>
      <c r="O15" s="8">
        <f>IF($A15="","",N15/12)</f>
        <v/>
      </c>
    </row>
    <row r="16">
      <c r="A16" s="7">
        <f>IF(Paramètres!A15="","",Paramètres!A15)</f>
        <v/>
      </c>
      <c r="B16" s="8">
        <f>IF($A16="","",SUMIFS('Octobre 2026'!$C$8:$C$88,'Octobre 2026'!$A$8:$A$88,$A16))</f>
        <v/>
      </c>
      <c r="C16" s="8">
        <f>IF($A16="","",SUMIFS('Novembre 2026'!$C$8:$C$88,'Novembre 2026'!$A$8:$A$88,$A16))</f>
        <v/>
      </c>
      <c r="D16" s="8">
        <f>IF($A16="","",SUMIFS('Décembre 2026'!$C$8:$C$88,'Décembre 2026'!$A$8:$A$88,$A16))</f>
        <v/>
      </c>
      <c r="E16" s="8">
        <f>IF($A16="","",SUMIFS('Janvier 2027'!$C$8:$C$88,'Janvier 2027'!$A$8:$A$88,$A16))</f>
        <v/>
      </c>
      <c r="F16" s="8">
        <f>IF($A16="","",SUMIFS('Février 2027'!$C$8:$C$88,'Février 2027'!$A$8:$A$88,$A16))</f>
        <v/>
      </c>
      <c r="G16" s="8">
        <f>IF($A16="","",SUMIFS('Mars 2027'!$C$8:$C$88,'Mars 2027'!$A$8:$A$88,$A16))</f>
        <v/>
      </c>
      <c r="H16" s="8">
        <f>IF($A16="","",SUMIFS('Avril 2027'!$C$8:$C$88,'Avril 2027'!$A$8:$A$88,$A16))</f>
        <v/>
      </c>
      <c r="I16" s="8">
        <f>IF($A16="","",SUMIFS('Mai 2027'!$C$8:$C$88,'Mai 2027'!$A$8:$A$88,$A16))</f>
        <v/>
      </c>
      <c r="J16" s="8">
        <f>IF($A16="","",SUMIFS('Juin 2027'!$C$8:$C$88,'Juin 2027'!$A$8:$A$88,$A16))</f>
        <v/>
      </c>
      <c r="K16" s="8">
        <f>IF($A16="","",SUMIFS('Juillet 2027'!$C$8:$C$88,'Juillet 2027'!$A$8:$A$88,$A16))</f>
        <v/>
      </c>
      <c r="L16" s="8">
        <f>IF($A16="","",SUMIFS('Août 2027'!$C$8:$C$88,'Août 2027'!$A$8:$A$88,$A16))</f>
        <v/>
      </c>
      <c r="M16" s="8">
        <f>IF($A16="","",SUMIFS('Septembre 2027'!$C$8:$C$88,'Septembre 2027'!$A$8:$A$88,$A16))</f>
        <v/>
      </c>
      <c r="N16" s="9">
        <f>IF($A16="","",SUM(B16:M16))</f>
        <v/>
      </c>
      <c r="O16" s="8">
        <f>IF($A16="","",N16/12)</f>
        <v/>
      </c>
    </row>
    <row r="17">
      <c r="A17" s="7">
        <f>IF(Paramètres!A16="","",Paramètres!A16)</f>
        <v/>
      </c>
      <c r="B17" s="8">
        <f>IF($A17="","",SUMIFS('Octobre 2026'!$C$8:$C$88,'Octobre 2026'!$A$8:$A$88,$A17))</f>
        <v/>
      </c>
      <c r="C17" s="8">
        <f>IF($A17="","",SUMIFS('Novembre 2026'!$C$8:$C$88,'Novembre 2026'!$A$8:$A$88,$A17))</f>
        <v/>
      </c>
      <c r="D17" s="8">
        <f>IF($A17="","",SUMIFS('Décembre 2026'!$C$8:$C$88,'Décembre 2026'!$A$8:$A$88,$A17))</f>
        <v/>
      </c>
      <c r="E17" s="8">
        <f>IF($A17="","",SUMIFS('Janvier 2027'!$C$8:$C$88,'Janvier 2027'!$A$8:$A$88,$A17))</f>
        <v/>
      </c>
      <c r="F17" s="8">
        <f>IF($A17="","",SUMIFS('Février 2027'!$C$8:$C$88,'Février 2027'!$A$8:$A$88,$A17))</f>
        <v/>
      </c>
      <c r="G17" s="8">
        <f>IF($A17="","",SUMIFS('Mars 2027'!$C$8:$C$88,'Mars 2027'!$A$8:$A$88,$A17))</f>
        <v/>
      </c>
      <c r="H17" s="8">
        <f>IF($A17="","",SUMIFS('Avril 2027'!$C$8:$C$88,'Avril 2027'!$A$8:$A$88,$A17))</f>
        <v/>
      </c>
      <c r="I17" s="8">
        <f>IF($A17="","",SUMIFS('Mai 2027'!$C$8:$C$88,'Mai 2027'!$A$8:$A$88,$A17))</f>
        <v/>
      </c>
      <c r="J17" s="8">
        <f>IF($A17="","",SUMIFS('Juin 2027'!$C$8:$C$88,'Juin 2027'!$A$8:$A$88,$A17))</f>
        <v/>
      </c>
      <c r="K17" s="8">
        <f>IF($A17="","",SUMIFS('Juillet 2027'!$C$8:$C$88,'Juillet 2027'!$A$8:$A$88,$A17))</f>
        <v/>
      </c>
      <c r="L17" s="8">
        <f>IF($A17="","",SUMIFS('Août 2027'!$C$8:$C$88,'Août 2027'!$A$8:$A$88,$A17))</f>
        <v/>
      </c>
      <c r="M17" s="8">
        <f>IF($A17="","",SUMIFS('Septembre 2027'!$C$8:$C$88,'Septembre 2027'!$A$8:$A$88,$A17))</f>
        <v/>
      </c>
      <c r="N17" s="9">
        <f>IF($A17="","",SUM(B17:M17))</f>
        <v/>
      </c>
      <c r="O17" s="8">
        <f>IF($A17="","",N17/12)</f>
        <v/>
      </c>
    </row>
    <row r="18">
      <c r="A18" s="7">
        <f>IF(Paramètres!A17="","",Paramètres!A17)</f>
        <v/>
      </c>
      <c r="B18" s="8">
        <f>IF($A18="","",SUMIFS('Octobre 2026'!$C$8:$C$88,'Octobre 2026'!$A$8:$A$88,$A18))</f>
        <v/>
      </c>
      <c r="C18" s="8">
        <f>IF($A18="","",SUMIFS('Novembre 2026'!$C$8:$C$88,'Novembre 2026'!$A$8:$A$88,$A18))</f>
        <v/>
      </c>
      <c r="D18" s="8">
        <f>IF($A18="","",SUMIFS('Décembre 2026'!$C$8:$C$88,'Décembre 2026'!$A$8:$A$88,$A18))</f>
        <v/>
      </c>
      <c r="E18" s="8">
        <f>IF($A18="","",SUMIFS('Janvier 2027'!$C$8:$C$88,'Janvier 2027'!$A$8:$A$88,$A18))</f>
        <v/>
      </c>
      <c r="F18" s="8">
        <f>IF($A18="","",SUMIFS('Février 2027'!$C$8:$C$88,'Février 2027'!$A$8:$A$88,$A18))</f>
        <v/>
      </c>
      <c r="G18" s="8">
        <f>IF($A18="","",SUMIFS('Mars 2027'!$C$8:$C$88,'Mars 2027'!$A$8:$A$88,$A18))</f>
        <v/>
      </c>
      <c r="H18" s="8">
        <f>IF($A18="","",SUMIFS('Avril 2027'!$C$8:$C$88,'Avril 2027'!$A$8:$A$88,$A18))</f>
        <v/>
      </c>
      <c r="I18" s="8">
        <f>IF($A18="","",SUMIFS('Mai 2027'!$C$8:$C$88,'Mai 2027'!$A$8:$A$88,$A18))</f>
        <v/>
      </c>
      <c r="J18" s="8">
        <f>IF($A18="","",SUMIFS('Juin 2027'!$C$8:$C$88,'Juin 2027'!$A$8:$A$88,$A18))</f>
        <v/>
      </c>
      <c r="K18" s="8">
        <f>IF($A18="","",SUMIFS('Juillet 2027'!$C$8:$C$88,'Juillet 2027'!$A$8:$A$88,$A18))</f>
        <v/>
      </c>
      <c r="L18" s="8">
        <f>IF($A18="","",SUMIFS('Août 2027'!$C$8:$C$88,'Août 2027'!$A$8:$A$88,$A18))</f>
        <v/>
      </c>
      <c r="M18" s="8">
        <f>IF($A18="","",SUMIFS('Septembre 2027'!$C$8:$C$88,'Septembre 2027'!$A$8:$A$88,$A18))</f>
        <v/>
      </c>
      <c r="N18" s="9">
        <f>IF($A18="","",SUM(B18:M18))</f>
        <v/>
      </c>
      <c r="O18" s="8">
        <f>IF($A18="","",N18/12)</f>
        <v/>
      </c>
    </row>
    <row r="19">
      <c r="A19" s="7">
        <f>IF(Paramètres!A18="","",Paramètres!A18)</f>
        <v/>
      </c>
      <c r="B19" s="8">
        <f>IF($A19="","",SUMIFS('Octobre 2026'!$C$8:$C$88,'Octobre 2026'!$A$8:$A$88,$A19))</f>
        <v/>
      </c>
      <c r="C19" s="8">
        <f>IF($A19="","",SUMIFS('Novembre 2026'!$C$8:$C$88,'Novembre 2026'!$A$8:$A$88,$A19))</f>
        <v/>
      </c>
      <c r="D19" s="8">
        <f>IF($A19="","",SUMIFS('Décembre 2026'!$C$8:$C$88,'Décembre 2026'!$A$8:$A$88,$A19))</f>
        <v/>
      </c>
      <c r="E19" s="8">
        <f>IF($A19="","",SUMIFS('Janvier 2027'!$C$8:$C$88,'Janvier 2027'!$A$8:$A$88,$A19))</f>
        <v/>
      </c>
      <c r="F19" s="8">
        <f>IF($A19="","",SUMIFS('Février 2027'!$C$8:$C$88,'Février 2027'!$A$8:$A$88,$A19))</f>
        <v/>
      </c>
      <c r="G19" s="8">
        <f>IF($A19="","",SUMIFS('Mars 2027'!$C$8:$C$88,'Mars 2027'!$A$8:$A$88,$A19))</f>
        <v/>
      </c>
      <c r="H19" s="8">
        <f>IF($A19="","",SUMIFS('Avril 2027'!$C$8:$C$88,'Avril 2027'!$A$8:$A$88,$A19))</f>
        <v/>
      </c>
      <c r="I19" s="8">
        <f>IF($A19="","",SUMIFS('Mai 2027'!$C$8:$C$88,'Mai 2027'!$A$8:$A$88,$A19))</f>
        <v/>
      </c>
      <c r="J19" s="8">
        <f>IF($A19="","",SUMIFS('Juin 2027'!$C$8:$C$88,'Juin 2027'!$A$8:$A$88,$A19))</f>
        <v/>
      </c>
      <c r="K19" s="8">
        <f>IF($A19="","",SUMIFS('Juillet 2027'!$C$8:$C$88,'Juillet 2027'!$A$8:$A$88,$A19))</f>
        <v/>
      </c>
      <c r="L19" s="8">
        <f>IF($A19="","",SUMIFS('Août 2027'!$C$8:$C$88,'Août 2027'!$A$8:$A$88,$A19))</f>
        <v/>
      </c>
      <c r="M19" s="8">
        <f>IF($A19="","",SUMIFS('Septembre 2027'!$C$8:$C$88,'Septembre 2027'!$A$8:$A$88,$A19))</f>
        <v/>
      </c>
      <c r="N19" s="9">
        <f>IF($A19="","",SUM(B19:M19))</f>
        <v/>
      </c>
      <c r="O19" s="8">
        <f>IF($A19="","",N19/12)</f>
        <v/>
      </c>
    </row>
    <row r="20">
      <c r="A20" s="7">
        <f>IF(Paramètres!A19="","",Paramètres!A19)</f>
        <v/>
      </c>
      <c r="B20" s="8">
        <f>IF($A20="","",SUMIFS('Octobre 2026'!$C$8:$C$88,'Octobre 2026'!$A$8:$A$88,$A20))</f>
        <v/>
      </c>
      <c r="C20" s="8">
        <f>IF($A20="","",SUMIFS('Novembre 2026'!$C$8:$C$88,'Novembre 2026'!$A$8:$A$88,$A20))</f>
        <v/>
      </c>
      <c r="D20" s="8">
        <f>IF($A20="","",SUMIFS('Décembre 2026'!$C$8:$C$88,'Décembre 2026'!$A$8:$A$88,$A20))</f>
        <v/>
      </c>
      <c r="E20" s="8">
        <f>IF($A20="","",SUMIFS('Janvier 2027'!$C$8:$C$88,'Janvier 2027'!$A$8:$A$88,$A20))</f>
        <v/>
      </c>
      <c r="F20" s="8">
        <f>IF($A20="","",SUMIFS('Février 2027'!$C$8:$C$88,'Février 2027'!$A$8:$A$88,$A20))</f>
        <v/>
      </c>
      <c r="G20" s="8">
        <f>IF($A20="","",SUMIFS('Mars 2027'!$C$8:$C$88,'Mars 2027'!$A$8:$A$88,$A20))</f>
        <v/>
      </c>
      <c r="H20" s="8">
        <f>IF($A20="","",SUMIFS('Avril 2027'!$C$8:$C$88,'Avril 2027'!$A$8:$A$88,$A20))</f>
        <v/>
      </c>
      <c r="I20" s="8">
        <f>IF($A20="","",SUMIFS('Mai 2027'!$C$8:$C$88,'Mai 2027'!$A$8:$A$88,$A20))</f>
        <v/>
      </c>
      <c r="J20" s="8">
        <f>IF($A20="","",SUMIFS('Juin 2027'!$C$8:$C$88,'Juin 2027'!$A$8:$A$88,$A20))</f>
        <v/>
      </c>
      <c r="K20" s="8">
        <f>IF($A20="","",SUMIFS('Juillet 2027'!$C$8:$C$88,'Juillet 2027'!$A$8:$A$88,$A20))</f>
        <v/>
      </c>
      <c r="L20" s="8">
        <f>IF($A20="","",SUMIFS('Août 2027'!$C$8:$C$88,'Août 2027'!$A$8:$A$88,$A20))</f>
        <v/>
      </c>
      <c r="M20" s="8">
        <f>IF($A20="","",SUMIFS('Septembre 2027'!$C$8:$C$88,'Septembre 2027'!$A$8:$A$88,$A20))</f>
        <v/>
      </c>
      <c r="N20" s="9">
        <f>IF($A20="","",SUM(B20:M20))</f>
        <v/>
      </c>
      <c r="O20" s="8">
        <f>IF($A20="","",N20/12)</f>
        <v/>
      </c>
    </row>
    <row r="21">
      <c r="A21" s="7">
        <f>IF(Paramètres!A20="","",Paramètres!A20)</f>
        <v/>
      </c>
      <c r="B21" s="8">
        <f>IF($A21="","",SUMIFS('Octobre 2026'!$C$8:$C$88,'Octobre 2026'!$A$8:$A$88,$A21))</f>
        <v/>
      </c>
      <c r="C21" s="8">
        <f>IF($A21="","",SUMIFS('Novembre 2026'!$C$8:$C$88,'Novembre 2026'!$A$8:$A$88,$A21))</f>
        <v/>
      </c>
      <c r="D21" s="8">
        <f>IF($A21="","",SUMIFS('Décembre 2026'!$C$8:$C$88,'Décembre 2026'!$A$8:$A$88,$A21))</f>
        <v/>
      </c>
      <c r="E21" s="8">
        <f>IF($A21="","",SUMIFS('Janvier 2027'!$C$8:$C$88,'Janvier 2027'!$A$8:$A$88,$A21))</f>
        <v/>
      </c>
      <c r="F21" s="8">
        <f>IF($A21="","",SUMIFS('Février 2027'!$C$8:$C$88,'Février 2027'!$A$8:$A$88,$A21))</f>
        <v/>
      </c>
      <c r="G21" s="8">
        <f>IF($A21="","",SUMIFS('Mars 2027'!$C$8:$C$88,'Mars 2027'!$A$8:$A$88,$A21))</f>
        <v/>
      </c>
      <c r="H21" s="8">
        <f>IF($A21="","",SUMIFS('Avril 2027'!$C$8:$C$88,'Avril 2027'!$A$8:$A$88,$A21))</f>
        <v/>
      </c>
      <c r="I21" s="8">
        <f>IF($A21="","",SUMIFS('Mai 2027'!$C$8:$C$88,'Mai 2027'!$A$8:$A$88,$A21))</f>
        <v/>
      </c>
      <c r="J21" s="8">
        <f>IF($A21="","",SUMIFS('Juin 2027'!$C$8:$C$88,'Juin 2027'!$A$8:$A$88,$A21))</f>
        <v/>
      </c>
      <c r="K21" s="8">
        <f>IF($A21="","",SUMIFS('Juillet 2027'!$C$8:$C$88,'Juillet 2027'!$A$8:$A$88,$A21))</f>
        <v/>
      </c>
      <c r="L21" s="8">
        <f>IF($A21="","",SUMIFS('Août 2027'!$C$8:$C$88,'Août 2027'!$A$8:$A$88,$A21))</f>
        <v/>
      </c>
      <c r="M21" s="8">
        <f>IF($A21="","",SUMIFS('Septembre 2027'!$C$8:$C$88,'Septembre 2027'!$A$8:$A$88,$A21))</f>
        <v/>
      </c>
      <c r="N21" s="9">
        <f>IF($A21="","",SUM(B21:M21))</f>
        <v/>
      </c>
      <c r="O21" s="8">
        <f>IF($A21="","",N21/12)</f>
        <v/>
      </c>
    </row>
    <row r="22">
      <c r="A22" s="7">
        <f>IF(Paramètres!A21="","",Paramètres!A21)</f>
        <v/>
      </c>
      <c r="B22" s="8">
        <f>IF($A22="","",SUMIFS('Octobre 2026'!$C$8:$C$88,'Octobre 2026'!$A$8:$A$88,$A22))</f>
        <v/>
      </c>
      <c r="C22" s="8">
        <f>IF($A22="","",SUMIFS('Novembre 2026'!$C$8:$C$88,'Novembre 2026'!$A$8:$A$88,$A22))</f>
        <v/>
      </c>
      <c r="D22" s="8">
        <f>IF($A22="","",SUMIFS('Décembre 2026'!$C$8:$C$88,'Décembre 2026'!$A$8:$A$88,$A22))</f>
        <v/>
      </c>
      <c r="E22" s="8">
        <f>IF($A22="","",SUMIFS('Janvier 2027'!$C$8:$C$88,'Janvier 2027'!$A$8:$A$88,$A22))</f>
        <v/>
      </c>
      <c r="F22" s="8">
        <f>IF($A22="","",SUMIFS('Février 2027'!$C$8:$C$88,'Février 2027'!$A$8:$A$88,$A22))</f>
        <v/>
      </c>
      <c r="G22" s="8">
        <f>IF($A22="","",SUMIFS('Mars 2027'!$C$8:$C$88,'Mars 2027'!$A$8:$A$88,$A22))</f>
        <v/>
      </c>
      <c r="H22" s="8">
        <f>IF($A22="","",SUMIFS('Avril 2027'!$C$8:$C$88,'Avril 2027'!$A$8:$A$88,$A22))</f>
        <v/>
      </c>
      <c r="I22" s="8">
        <f>IF($A22="","",SUMIFS('Mai 2027'!$C$8:$C$88,'Mai 2027'!$A$8:$A$88,$A22))</f>
        <v/>
      </c>
      <c r="J22" s="8">
        <f>IF($A22="","",SUMIFS('Juin 2027'!$C$8:$C$88,'Juin 2027'!$A$8:$A$88,$A22))</f>
        <v/>
      </c>
      <c r="K22" s="8">
        <f>IF($A22="","",SUMIFS('Juillet 2027'!$C$8:$C$88,'Juillet 2027'!$A$8:$A$88,$A22))</f>
        <v/>
      </c>
      <c r="L22" s="8">
        <f>IF($A22="","",SUMIFS('Août 2027'!$C$8:$C$88,'Août 2027'!$A$8:$A$88,$A22))</f>
        <v/>
      </c>
      <c r="M22" s="8">
        <f>IF($A22="","",SUMIFS('Septembre 2027'!$C$8:$C$88,'Septembre 2027'!$A$8:$A$88,$A22))</f>
        <v/>
      </c>
      <c r="N22" s="9">
        <f>IF($A22="","",SUM(B22:M22))</f>
        <v/>
      </c>
      <c r="O22" s="8">
        <f>IF($A22="","",N22/12)</f>
        <v/>
      </c>
    </row>
    <row r="23">
      <c r="A23" s="7">
        <f>IF(Paramètres!A22="","",Paramètres!A22)</f>
        <v/>
      </c>
      <c r="B23" s="8">
        <f>IF($A23="","",SUMIFS('Octobre 2026'!$C$8:$C$88,'Octobre 2026'!$A$8:$A$88,$A23))</f>
        <v/>
      </c>
      <c r="C23" s="8">
        <f>IF($A23="","",SUMIFS('Novembre 2026'!$C$8:$C$88,'Novembre 2026'!$A$8:$A$88,$A23))</f>
        <v/>
      </c>
      <c r="D23" s="8">
        <f>IF($A23="","",SUMIFS('Décembre 2026'!$C$8:$C$88,'Décembre 2026'!$A$8:$A$88,$A23))</f>
        <v/>
      </c>
      <c r="E23" s="8">
        <f>IF($A23="","",SUMIFS('Janvier 2027'!$C$8:$C$88,'Janvier 2027'!$A$8:$A$88,$A23))</f>
        <v/>
      </c>
      <c r="F23" s="8">
        <f>IF($A23="","",SUMIFS('Février 2027'!$C$8:$C$88,'Février 2027'!$A$8:$A$88,$A23))</f>
        <v/>
      </c>
      <c r="G23" s="8">
        <f>IF($A23="","",SUMIFS('Mars 2027'!$C$8:$C$88,'Mars 2027'!$A$8:$A$88,$A23))</f>
        <v/>
      </c>
      <c r="H23" s="8">
        <f>IF($A23="","",SUMIFS('Avril 2027'!$C$8:$C$88,'Avril 2027'!$A$8:$A$88,$A23))</f>
        <v/>
      </c>
      <c r="I23" s="8">
        <f>IF($A23="","",SUMIFS('Mai 2027'!$C$8:$C$88,'Mai 2027'!$A$8:$A$88,$A23))</f>
        <v/>
      </c>
      <c r="J23" s="8">
        <f>IF($A23="","",SUMIFS('Juin 2027'!$C$8:$C$88,'Juin 2027'!$A$8:$A$88,$A23))</f>
        <v/>
      </c>
      <c r="K23" s="8">
        <f>IF($A23="","",SUMIFS('Juillet 2027'!$C$8:$C$88,'Juillet 2027'!$A$8:$A$88,$A23))</f>
        <v/>
      </c>
      <c r="L23" s="8">
        <f>IF($A23="","",SUMIFS('Août 2027'!$C$8:$C$88,'Août 2027'!$A$8:$A$88,$A23))</f>
        <v/>
      </c>
      <c r="M23" s="8">
        <f>IF($A23="","",SUMIFS('Septembre 2027'!$C$8:$C$88,'Septembre 2027'!$A$8:$A$88,$A23))</f>
        <v/>
      </c>
      <c r="N23" s="9">
        <f>IF($A23="","",SUM(B23:M23))</f>
        <v/>
      </c>
      <c r="O23" s="8">
        <f>IF($A23="","",N23/12)</f>
        <v/>
      </c>
    </row>
    <row r="24">
      <c r="A24" s="7">
        <f>IF(Paramètres!A23="","",Paramètres!A23)</f>
        <v/>
      </c>
      <c r="B24" s="8">
        <f>IF($A24="","",SUMIFS('Octobre 2026'!$C$8:$C$88,'Octobre 2026'!$A$8:$A$88,$A24))</f>
        <v/>
      </c>
      <c r="C24" s="8">
        <f>IF($A24="","",SUMIFS('Novembre 2026'!$C$8:$C$88,'Novembre 2026'!$A$8:$A$88,$A24))</f>
        <v/>
      </c>
      <c r="D24" s="8">
        <f>IF($A24="","",SUMIFS('Décembre 2026'!$C$8:$C$88,'Décembre 2026'!$A$8:$A$88,$A24))</f>
        <v/>
      </c>
      <c r="E24" s="8">
        <f>IF($A24="","",SUMIFS('Janvier 2027'!$C$8:$C$88,'Janvier 2027'!$A$8:$A$88,$A24))</f>
        <v/>
      </c>
      <c r="F24" s="8">
        <f>IF($A24="","",SUMIFS('Février 2027'!$C$8:$C$88,'Février 2027'!$A$8:$A$88,$A24))</f>
        <v/>
      </c>
      <c r="G24" s="8">
        <f>IF($A24="","",SUMIFS('Mars 2027'!$C$8:$C$88,'Mars 2027'!$A$8:$A$88,$A24))</f>
        <v/>
      </c>
      <c r="H24" s="8">
        <f>IF($A24="","",SUMIFS('Avril 2027'!$C$8:$C$88,'Avril 2027'!$A$8:$A$88,$A24))</f>
        <v/>
      </c>
      <c r="I24" s="8">
        <f>IF($A24="","",SUMIFS('Mai 2027'!$C$8:$C$88,'Mai 2027'!$A$8:$A$88,$A24))</f>
        <v/>
      </c>
      <c r="J24" s="8">
        <f>IF($A24="","",SUMIFS('Juin 2027'!$C$8:$C$88,'Juin 2027'!$A$8:$A$88,$A24))</f>
        <v/>
      </c>
      <c r="K24" s="8">
        <f>IF($A24="","",SUMIFS('Juillet 2027'!$C$8:$C$88,'Juillet 2027'!$A$8:$A$88,$A24))</f>
        <v/>
      </c>
      <c r="L24" s="8">
        <f>IF($A24="","",SUMIFS('Août 2027'!$C$8:$C$88,'Août 2027'!$A$8:$A$88,$A24))</f>
        <v/>
      </c>
      <c r="M24" s="8">
        <f>IF($A24="","",SUMIFS('Septembre 2027'!$C$8:$C$88,'Septembre 2027'!$A$8:$A$88,$A24))</f>
        <v/>
      </c>
      <c r="N24" s="9">
        <f>IF($A24="","",SUM(B24:M24))</f>
        <v/>
      </c>
      <c r="O24" s="8">
        <f>IF($A24="","",N24/12)</f>
        <v/>
      </c>
    </row>
    <row r="25">
      <c r="A25" s="7">
        <f>IF(Paramètres!A24="","",Paramètres!A24)</f>
        <v/>
      </c>
      <c r="B25" s="8">
        <f>IF($A25="","",SUMIFS('Octobre 2026'!$C$8:$C$88,'Octobre 2026'!$A$8:$A$88,$A25))</f>
        <v/>
      </c>
      <c r="C25" s="8">
        <f>IF($A25="","",SUMIFS('Novembre 2026'!$C$8:$C$88,'Novembre 2026'!$A$8:$A$88,$A25))</f>
        <v/>
      </c>
      <c r="D25" s="8">
        <f>IF($A25="","",SUMIFS('Décembre 2026'!$C$8:$C$88,'Décembre 2026'!$A$8:$A$88,$A25))</f>
        <v/>
      </c>
      <c r="E25" s="8">
        <f>IF($A25="","",SUMIFS('Janvier 2027'!$C$8:$C$88,'Janvier 2027'!$A$8:$A$88,$A25))</f>
        <v/>
      </c>
      <c r="F25" s="8">
        <f>IF($A25="","",SUMIFS('Février 2027'!$C$8:$C$88,'Février 2027'!$A$8:$A$88,$A25))</f>
        <v/>
      </c>
      <c r="G25" s="8">
        <f>IF($A25="","",SUMIFS('Mars 2027'!$C$8:$C$88,'Mars 2027'!$A$8:$A$88,$A25))</f>
        <v/>
      </c>
      <c r="H25" s="8">
        <f>IF($A25="","",SUMIFS('Avril 2027'!$C$8:$C$88,'Avril 2027'!$A$8:$A$88,$A25))</f>
        <v/>
      </c>
      <c r="I25" s="8">
        <f>IF($A25="","",SUMIFS('Mai 2027'!$C$8:$C$88,'Mai 2027'!$A$8:$A$88,$A25))</f>
        <v/>
      </c>
      <c r="J25" s="8">
        <f>IF($A25="","",SUMIFS('Juin 2027'!$C$8:$C$88,'Juin 2027'!$A$8:$A$88,$A25))</f>
        <v/>
      </c>
      <c r="K25" s="8">
        <f>IF($A25="","",SUMIFS('Juillet 2027'!$C$8:$C$88,'Juillet 2027'!$A$8:$A$88,$A25))</f>
        <v/>
      </c>
      <c r="L25" s="8">
        <f>IF($A25="","",SUMIFS('Août 2027'!$C$8:$C$88,'Août 2027'!$A$8:$A$88,$A25))</f>
        <v/>
      </c>
      <c r="M25" s="8">
        <f>IF($A25="","",SUMIFS('Septembre 2027'!$C$8:$C$88,'Septembre 2027'!$A$8:$A$88,$A25))</f>
        <v/>
      </c>
      <c r="N25" s="9">
        <f>IF($A25="","",SUM(B25:M25))</f>
        <v/>
      </c>
      <c r="O25" s="8">
        <f>IF($A25="","",N25/12)</f>
        <v/>
      </c>
    </row>
    <row r="26">
      <c r="A26" s="7">
        <f>IF(Paramètres!A25="","",Paramètres!A25)</f>
        <v/>
      </c>
      <c r="B26" s="8">
        <f>IF($A26="","",SUMIFS('Octobre 2026'!$C$8:$C$88,'Octobre 2026'!$A$8:$A$88,$A26))</f>
        <v/>
      </c>
      <c r="C26" s="8">
        <f>IF($A26="","",SUMIFS('Novembre 2026'!$C$8:$C$88,'Novembre 2026'!$A$8:$A$88,$A26))</f>
        <v/>
      </c>
      <c r="D26" s="8">
        <f>IF($A26="","",SUMIFS('Décembre 2026'!$C$8:$C$88,'Décembre 2026'!$A$8:$A$88,$A26))</f>
        <v/>
      </c>
      <c r="E26" s="8">
        <f>IF($A26="","",SUMIFS('Janvier 2027'!$C$8:$C$88,'Janvier 2027'!$A$8:$A$88,$A26))</f>
        <v/>
      </c>
      <c r="F26" s="8">
        <f>IF($A26="","",SUMIFS('Février 2027'!$C$8:$C$88,'Février 2027'!$A$8:$A$88,$A26))</f>
        <v/>
      </c>
      <c r="G26" s="8">
        <f>IF($A26="","",SUMIFS('Mars 2027'!$C$8:$C$88,'Mars 2027'!$A$8:$A$88,$A26))</f>
        <v/>
      </c>
      <c r="H26" s="8">
        <f>IF($A26="","",SUMIFS('Avril 2027'!$C$8:$C$88,'Avril 2027'!$A$8:$A$88,$A26))</f>
        <v/>
      </c>
      <c r="I26" s="8">
        <f>IF($A26="","",SUMIFS('Mai 2027'!$C$8:$C$88,'Mai 2027'!$A$8:$A$88,$A26))</f>
        <v/>
      </c>
      <c r="J26" s="8">
        <f>IF($A26="","",SUMIFS('Juin 2027'!$C$8:$C$88,'Juin 2027'!$A$8:$A$88,$A26))</f>
        <v/>
      </c>
      <c r="K26" s="8">
        <f>IF($A26="","",SUMIFS('Juillet 2027'!$C$8:$C$88,'Juillet 2027'!$A$8:$A$88,$A26))</f>
        <v/>
      </c>
      <c r="L26" s="8">
        <f>IF($A26="","",SUMIFS('Août 2027'!$C$8:$C$88,'Août 2027'!$A$8:$A$88,$A26))</f>
        <v/>
      </c>
      <c r="M26" s="8">
        <f>IF($A26="","",SUMIFS('Septembre 2027'!$C$8:$C$88,'Septembre 2027'!$A$8:$A$88,$A26))</f>
        <v/>
      </c>
      <c r="N26" s="9">
        <f>IF($A26="","",SUM(B26:M26))</f>
        <v/>
      </c>
      <c r="O26" s="8">
        <f>IF($A26="","",N26/12)</f>
        <v/>
      </c>
    </row>
    <row r="27">
      <c r="A27" s="7">
        <f>IF(Paramètres!A26="","",Paramètres!A26)</f>
        <v/>
      </c>
      <c r="B27" s="8">
        <f>IF($A27="","",SUMIFS('Octobre 2026'!$C$8:$C$88,'Octobre 2026'!$A$8:$A$88,$A27))</f>
        <v/>
      </c>
      <c r="C27" s="8">
        <f>IF($A27="","",SUMIFS('Novembre 2026'!$C$8:$C$88,'Novembre 2026'!$A$8:$A$88,$A27))</f>
        <v/>
      </c>
      <c r="D27" s="8">
        <f>IF($A27="","",SUMIFS('Décembre 2026'!$C$8:$C$88,'Décembre 2026'!$A$8:$A$88,$A27))</f>
        <v/>
      </c>
      <c r="E27" s="8">
        <f>IF($A27="","",SUMIFS('Janvier 2027'!$C$8:$C$88,'Janvier 2027'!$A$8:$A$88,$A27))</f>
        <v/>
      </c>
      <c r="F27" s="8">
        <f>IF($A27="","",SUMIFS('Février 2027'!$C$8:$C$88,'Février 2027'!$A$8:$A$88,$A27))</f>
        <v/>
      </c>
      <c r="G27" s="8">
        <f>IF($A27="","",SUMIFS('Mars 2027'!$C$8:$C$88,'Mars 2027'!$A$8:$A$88,$A27))</f>
        <v/>
      </c>
      <c r="H27" s="8">
        <f>IF($A27="","",SUMIFS('Avril 2027'!$C$8:$C$88,'Avril 2027'!$A$8:$A$88,$A27))</f>
        <v/>
      </c>
      <c r="I27" s="8">
        <f>IF($A27="","",SUMIFS('Mai 2027'!$C$8:$C$88,'Mai 2027'!$A$8:$A$88,$A27))</f>
        <v/>
      </c>
      <c r="J27" s="8">
        <f>IF($A27="","",SUMIFS('Juin 2027'!$C$8:$C$88,'Juin 2027'!$A$8:$A$88,$A27))</f>
        <v/>
      </c>
      <c r="K27" s="8">
        <f>IF($A27="","",SUMIFS('Juillet 2027'!$C$8:$C$88,'Juillet 2027'!$A$8:$A$88,$A27))</f>
        <v/>
      </c>
      <c r="L27" s="8">
        <f>IF($A27="","",SUMIFS('Août 2027'!$C$8:$C$88,'Août 2027'!$A$8:$A$88,$A27))</f>
        <v/>
      </c>
      <c r="M27" s="8">
        <f>IF($A27="","",SUMIFS('Septembre 2027'!$C$8:$C$88,'Septembre 2027'!$A$8:$A$88,$A27))</f>
        <v/>
      </c>
      <c r="N27" s="9">
        <f>IF($A27="","",SUM(B27:M27))</f>
        <v/>
      </c>
      <c r="O27" s="8">
        <f>IF($A27="","",N27/12)</f>
        <v/>
      </c>
    </row>
    <row r="28">
      <c r="A28" s="7">
        <f>IF(Paramètres!A27="","",Paramètres!A27)</f>
        <v/>
      </c>
      <c r="B28" s="8">
        <f>IF($A28="","",SUMIFS('Octobre 2026'!$C$8:$C$88,'Octobre 2026'!$A$8:$A$88,$A28))</f>
        <v/>
      </c>
      <c r="C28" s="8">
        <f>IF($A28="","",SUMIFS('Novembre 2026'!$C$8:$C$88,'Novembre 2026'!$A$8:$A$88,$A28))</f>
        <v/>
      </c>
      <c r="D28" s="8">
        <f>IF($A28="","",SUMIFS('Décembre 2026'!$C$8:$C$88,'Décembre 2026'!$A$8:$A$88,$A28))</f>
        <v/>
      </c>
      <c r="E28" s="8">
        <f>IF($A28="","",SUMIFS('Janvier 2027'!$C$8:$C$88,'Janvier 2027'!$A$8:$A$88,$A28))</f>
        <v/>
      </c>
      <c r="F28" s="8">
        <f>IF($A28="","",SUMIFS('Février 2027'!$C$8:$C$88,'Février 2027'!$A$8:$A$88,$A28))</f>
        <v/>
      </c>
      <c r="G28" s="8">
        <f>IF($A28="","",SUMIFS('Mars 2027'!$C$8:$C$88,'Mars 2027'!$A$8:$A$88,$A28))</f>
        <v/>
      </c>
      <c r="H28" s="8">
        <f>IF($A28="","",SUMIFS('Avril 2027'!$C$8:$C$88,'Avril 2027'!$A$8:$A$88,$A28))</f>
        <v/>
      </c>
      <c r="I28" s="8">
        <f>IF($A28="","",SUMIFS('Mai 2027'!$C$8:$C$88,'Mai 2027'!$A$8:$A$88,$A28))</f>
        <v/>
      </c>
      <c r="J28" s="8">
        <f>IF($A28="","",SUMIFS('Juin 2027'!$C$8:$C$88,'Juin 2027'!$A$8:$A$88,$A28))</f>
        <v/>
      </c>
      <c r="K28" s="8">
        <f>IF($A28="","",SUMIFS('Juillet 2027'!$C$8:$C$88,'Juillet 2027'!$A$8:$A$88,$A28))</f>
        <v/>
      </c>
      <c r="L28" s="8">
        <f>IF($A28="","",SUMIFS('Août 2027'!$C$8:$C$88,'Août 2027'!$A$8:$A$88,$A28))</f>
        <v/>
      </c>
      <c r="M28" s="8">
        <f>IF($A28="","",SUMIFS('Septembre 2027'!$C$8:$C$88,'Septembre 2027'!$A$8:$A$88,$A28))</f>
        <v/>
      </c>
      <c r="N28" s="9">
        <f>IF($A28="","",SUM(B28:M28))</f>
        <v/>
      </c>
      <c r="O28" s="8">
        <f>IF($A28="","",N28/12)</f>
        <v/>
      </c>
    </row>
    <row r="29">
      <c r="A29" s="7">
        <f>IF(Paramètres!A28="","",Paramètres!A28)</f>
        <v/>
      </c>
      <c r="B29" s="8">
        <f>IF($A29="","",SUMIFS('Octobre 2026'!$C$8:$C$88,'Octobre 2026'!$A$8:$A$88,$A29))</f>
        <v/>
      </c>
      <c r="C29" s="8">
        <f>IF($A29="","",SUMIFS('Novembre 2026'!$C$8:$C$88,'Novembre 2026'!$A$8:$A$88,$A29))</f>
        <v/>
      </c>
      <c r="D29" s="8">
        <f>IF($A29="","",SUMIFS('Décembre 2026'!$C$8:$C$88,'Décembre 2026'!$A$8:$A$88,$A29))</f>
        <v/>
      </c>
      <c r="E29" s="8">
        <f>IF($A29="","",SUMIFS('Janvier 2027'!$C$8:$C$88,'Janvier 2027'!$A$8:$A$88,$A29))</f>
        <v/>
      </c>
      <c r="F29" s="8">
        <f>IF($A29="","",SUMIFS('Février 2027'!$C$8:$C$88,'Février 2027'!$A$8:$A$88,$A29))</f>
        <v/>
      </c>
      <c r="G29" s="8">
        <f>IF($A29="","",SUMIFS('Mars 2027'!$C$8:$C$88,'Mars 2027'!$A$8:$A$88,$A29))</f>
        <v/>
      </c>
      <c r="H29" s="8">
        <f>IF($A29="","",SUMIFS('Avril 2027'!$C$8:$C$88,'Avril 2027'!$A$8:$A$88,$A29))</f>
        <v/>
      </c>
      <c r="I29" s="8">
        <f>IF($A29="","",SUMIFS('Mai 2027'!$C$8:$C$88,'Mai 2027'!$A$8:$A$88,$A29))</f>
        <v/>
      </c>
      <c r="J29" s="8">
        <f>IF($A29="","",SUMIFS('Juin 2027'!$C$8:$C$88,'Juin 2027'!$A$8:$A$88,$A29))</f>
        <v/>
      </c>
      <c r="K29" s="8">
        <f>IF($A29="","",SUMIFS('Juillet 2027'!$C$8:$C$88,'Juillet 2027'!$A$8:$A$88,$A29))</f>
        <v/>
      </c>
      <c r="L29" s="8">
        <f>IF($A29="","",SUMIFS('Août 2027'!$C$8:$C$88,'Août 2027'!$A$8:$A$88,$A29))</f>
        <v/>
      </c>
      <c r="M29" s="8">
        <f>IF($A29="","",SUMIFS('Septembre 2027'!$C$8:$C$88,'Septembre 2027'!$A$8:$A$88,$A29))</f>
        <v/>
      </c>
      <c r="N29" s="9">
        <f>IF($A29="","",SUM(B29:M29))</f>
        <v/>
      </c>
      <c r="O29" s="8">
        <f>IF($A29="","",N29/12)</f>
        <v/>
      </c>
    </row>
    <row r="30">
      <c r="A30" s="7">
        <f>IF(Paramètres!A29="","",Paramètres!A29)</f>
        <v/>
      </c>
      <c r="B30" s="8">
        <f>IF($A30="","",SUMIFS('Octobre 2026'!$C$8:$C$88,'Octobre 2026'!$A$8:$A$88,$A30))</f>
        <v/>
      </c>
      <c r="C30" s="8">
        <f>IF($A30="","",SUMIFS('Novembre 2026'!$C$8:$C$88,'Novembre 2026'!$A$8:$A$88,$A30))</f>
        <v/>
      </c>
      <c r="D30" s="8">
        <f>IF($A30="","",SUMIFS('Décembre 2026'!$C$8:$C$88,'Décembre 2026'!$A$8:$A$88,$A30))</f>
        <v/>
      </c>
      <c r="E30" s="8">
        <f>IF($A30="","",SUMIFS('Janvier 2027'!$C$8:$C$88,'Janvier 2027'!$A$8:$A$88,$A30))</f>
        <v/>
      </c>
      <c r="F30" s="8">
        <f>IF($A30="","",SUMIFS('Février 2027'!$C$8:$C$88,'Février 2027'!$A$8:$A$88,$A30))</f>
        <v/>
      </c>
      <c r="G30" s="8">
        <f>IF($A30="","",SUMIFS('Mars 2027'!$C$8:$C$88,'Mars 2027'!$A$8:$A$88,$A30))</f>
        <v/>
      </c>
      <c r="H30" s="8">
        <f>IF($A30="","",SUMIFS('Avril 2027'!$C$8:$C$88,'Avril 2027'!$A$8:$A$88,$A30))</f>
        <v/>
      </c>
      <c r="I30" s="8">
        <f>IF($A30="","",SUMIFS('Mai 2027'!$C$8:$C$88,'Mai 2027'!$A$8:$A$88,$A30))</f>
        <v/>
      </c>
      <c r="J30" s="8">
        <f>IF($A30="","",SUMIFS('Juin 2027'!$C$8:$C$88,'Juin 2027'!$A$8:$A$88,$A30))</f>
        <v/>
      </c>
      <c r="K30" s="8">
        <f>IF($A30="","",SUMIFS('Juillet 2027'!$C$8:$C$88,'Juillet 2027'!$A$8:$A$88,$A30))</f>
        <v/>
      </c>
      <c r="L30" s="8">
        <f>IF($A30="","",SUMIFS('Août 2027'!$C$8:$C$88,'Août 2027'!$A$8:$A$88,$A30))</f>
        <v/>
      </c>
      <c r="M30" s="8">
        <f>IF($A30="","",SUMIFS('Septembre 2027'!$C$8:$C$88,'Septembre 2027'!$A$8:$A$88,$A30))</f>
        <v/>
      </c>
      <c r="N30" s="9">
        <f>IF($A30="","",SUM(B30:M30))</f>
        <v/>
      </c>
      <c r="O30" s="8">
        <f>IF($A30="","",N30/12)</f>
        <v/>
      </c>
    </row>
    <row r="31">
      <c r="A31" s="7">
        <f>IF(Paramètres!A30="","",Paramètres!A30)</f>
        <v/>
      </c>
      <c r="B31" s="8">
        <f>IF($A31="","",SUMIFS('Octobre 2026'!$C$8:$C$88,'Octobre 2026'!$A$8:$A$88,$A31))</f>
        <v/>
      </c>
      <c r="C31" s="8">
        <f>IF($A31="","",SUMIFS('Novembre 2026'!$C$8:$C$88,'Novembre 2026'!$A$8:$A$88,$A31))</f>
        <v/>
      </c>
      <c r="D31" s="8">
        <f>IF($A31="","",SUMIFS('Décembre 2026'!$C$8:$C$88,'Décembre 2026'!$A$8:$A$88,$A31))</f>
        <v/>
      </c>
      <c r="E31" s="8">
        <f>IF($A31="","",SUMIFS('Janvier 2027'!$C$8:$C$88,'Janvier 2027'!$A$8:$A$88,$A31))</f>
        <v/>
      </c>
      <c r="F31" s="8">
        <f>IF($A31="","",SUMIFS('Février 2027'!$C$8:$C$88,'Février 2027'!$A$8:$A$88,$A31))</f>
        <v/>
      </c>
      <c r="G31" s="8">
        <f>IF($A31="","",SUMIFS('Mars 2027'!$C$8:$C$88,'Mars 2027'!$A$8:$A$88,$A31))</f>
        <v/>
      </c>
      <c r="H31" s="8">
        <f>IF($A31="","",SUMIFS('Avril 2027'!$C$8:$C$88,'Avril 2027'!$A$8:$A$88,$A31))</f>
        <v/>
      </c>
      <c r="I31" s="8">
        <f>IF($A31="","",SUMIFS('Mai 2027'!$C$8:$C$88,'Mai 2027'!$A$8:$A$88,$A31))</f>
        <v/>
      </c>
      <c r="J31" s="8">
        <f>IF($A31="","",SUMIFS('Juin 2027'!$C$8:$C$88,'Juin 2027'!$A$8:$A$88,$A31))</f>
        <v/>
      </c>
      <c r="K31" s="8">
        <f>IF($A31="","",SUMIFS('Juillet 2027'!$C$8:$C$88,'Juillet 2027'!$A$8:$A$88,$A31))</f>
        <v/>
      </c>
      <c r="L31" s="8">
        <f>IF($A31="","",SUMIFS('Août 2027'!$C$8:$C$88,'Août 2027'!$A$8:$A$88,$A31))</f>
        <v/>
      </c>
      <c r="M31" s="8">
        <f>IF($A31="","",SUMIFS('Septembre 2027'!$C$8:$C$88,'Septembre 2027'!$A$8:$A$88,$A31))</f>
        <v/>
      </c>
      <c r="N31" s="9">
        <f>IF($A31="","",SUM(B31:M31))</f>
        <v/>
      </c>
      <c r="O31" s="8">
        <f>IF($A31="","",N31/12)</f>
        <v/>
      </c>
    </row>
    <row r="32">
      <c r="A32" s="7">
        <f>IF(Paramètres!A31="","",Paramètres!A31)</f>
        <v/>
      </c>
      <c r="B32" s="8">
        <f>IF($A32="","",SUMIFS('Octobre 2026'!$C$8:$C$88,'Octobre 2026'!$A$8:$A$88,$A32))</f>
        <v/>
      </c>
      <c r="C32" s="8">
        <f>IF($A32="","",SUMIFS('Novembre 2026'!$C$8:$C$88,'Novembre 2026'!$A$8:$A$88,$A32))</f>
        <v/>
      </c>
      <c r="D32" s="8">
        <f>IF($A32="","",SUMIFS('Décembre 2026'!$C$8:$C$88,'Décembre 2026'!$A$8:$A$88,$A32))</f>
        <v/>
      </c>
      <c r="E32" s="8">
        <f>IF($A32="","",SUMIFS('Janvier 2027'!$C$8:$C$88,'Janvier 2027'!$A$8:$A$88,$A32))</f>
        <v/>
      </c>
      <c r="F32" s="8">
        <f>IF($A32="","",SUMIFS('Février 2027'!$C$8:$C$88,'Février 2027'!$A$8:$A$88,$A32))</f>
        <v/>
      </c>
      <c r="G32" s="8">
        <f>IF($A32="","",SUMIFS('Mars 2027'!$C$8:$C$88,'Mars 2027'!$A$8:$A$88,$A32))</f>
        <v/>
      </c>
      <c r="H32" s="8">
        <f>IF($A32="","",SUMIFS('Avril 2027'!$C$8:$C$88,'Avril 2027'!$A$8:$A$88,$A32))</f>
        <v/>
      </c>
      <c r="I32" s="8">
        <f>IF($A32="","",SUMIFS('Mai 2027'!$C$8:$C$88,'Mai 2027'!$A$8:$A$88,$A32))</f>
        <v/>
      </c>
      <c r="J32" s="8">
        <f>IF($A32="","",SUMIFS('Juin 2027'!$C$8:$C$88,'Juin 2027'!$A$8:$A$88,$A32))</f>
        <v/>
      </c>
      <c r="K32" s="8">
        <f>IF($A32="","",SUMIFS('Juillet 2027'!$C$8:$C$88,'Juillet 2027'!$A$8:$A$88,$A32))</f>
        <v/>
      </c>
      <c r="L32" s="8">
        <f>IF($A32="","",SUMIFS('Août 2027'!$C$8:$C$88,'Août 2027'!$A$8:$A$88,$A32))</f>
        <v/>
      </c>
      <c r="M32" s="8">
        <f>IF($A32="","",SUMIFS('Septembre 2027'!$C$8:$C$88,'Septembre 2027'!$A$8:$A$88,$A32))</f>
        <v/>
      </c>
      <c r="N32" s="9">
        <f>IF($A32="","",SUM(B32:M32))</f>
        <v/>
      </c>
      <c r="O32" s="8">
        <f>IF($A32="","",N32/12)</f>
        <v/>
      </c>
    </row>
    <row r="33">
      <c r="A33" s="7">
        <f>IF(Paramètres!A32="","",Paramètres!A32)</f>
        <v/>
      </c>
      <c r="B33" s="8">
        <f>IF($A33="","",SUMIFS('Octobre 2026'!$C$8:$C$88,'Octobre 2026'!$A$8:$A$88,$A33))</f>
        <v/>
      </c>
      <c r="C33" s="8">
        <f>IF($A33="","",SUMIFS('Novembre 2026'!$C$8:$C$88,'Novembre 2026'!$A$8:$A$88,$A33))</f>
        <v/>
      </c>
      <c r="D33" s="8">
        <f>IF($A33="","",SUMIFS('Décembre 2026'!$C$8:$C$88,'Décembre 2026'!$A$8:$A$88,$A33))</f>
        <v/>
      </c>
      <c r="E33" s="8">
        <f>IF($A33="","",SUMIFS('Janvier 2027'!$C$8:$C$88,'Janvier 2027'!$A$8:$A$88,$A33))</f>
        <v/>
      </c>
      <c r="F33" s="8">
        <f>IF($A33="","",SUMIFS('Février 2027'!$C$8:$C$88,'Février 2027'!$A$8:$A$88,$A33))</f>
        <v/>
      </c>
      <c r="G33" s="8">
        <f>IF($A33="","",SUMIFS('Mars 2027'!$C$8:$C$88,'Mars 2027'!$A$8:$A$88,$A33))</f>
        <v/>
      </c>
      <c r="H33" s="8">
        <f>IF($A33="","",SUMIFS('Avril 2027'!$C$8:$C$88,'Avril 2027'!$A$8:$A$88,$A33))</f>
        <v/>
      </c>
      <c r="I33" s="8">
        <f>IF($A33="","",SUMIFS('Mai 2027'!$C$8:$C$88,'Mai 2027'!$A$8:$A$88,$A33))</f>
        <v/>
      </c>
      <c r="J33" s="8">
        <f>IF($A33="","",SUMIFS('Juin 2027'!$C$8:$C$88,'Juin 2027'!$A$8:$A$88,$A33))</f>
        <v/>
      </c>
      <c r="K33" s="8">
        <f>IF($A33="","",SUMIFS('Juillet 2027'!$C$8:$C$88,'Juillet 2027'!$A$8:$A$88,$A33))</f>
        <v/>
      </c>
      <c r="L33" s="8">
        <f>IF($A33="","",SUMIFS('Août 2027'!$C$8:$C$88,'Août 2027'!$A$8:$A$88,$A33))</f>
        <v/>
      </c>
      <c r="M33" s="8">
        <f>IF($A33="","",SUMIFS('Septembre 2027'!$C$8:$C$88,'Septembre 2027'!$A$8:$A$88,$A33))</f>
        <v/>
      </c>
      <c r="N33" s="9">
        <f>IF($A33="","",SUM(B33:M33))</f>
        <v/>
      </c>
      <c r="O33" s="8">
        <f>IF($A33="","",N33/12)</f>
        <v/>
      </c>
    </row>
    <row r="34">
      <c r="A34" s="7">
        <f>IF(Paramètres!A33="","",Paramètres!A33)</f>
        <v/>
      </c>
      <c r="B34" s="8">
        <f>IF($A34="","",SUMIFS('Octobre 2026'!$C$8:$C$88,'Octobre 2026'!$A$8:$A$88,$A34))</f>
        <v/>
      </c>
      <c r="C34" s="8">
        <f>IF($A34="","",SUMIFS('Novembre 2026'!$C$8:$C$88,'Novembre 2026'!$A$8:$A$88,$A34))</f>
        <v/>
      </c>
      <c r="D34" s="8">
        <f>IF($A34="","",SUMIFS('Décembre 2026'!$C$8:$C$88,'Décembre 2026'!$A$8:$A$88,$A34))</f>
        <v/>
      </c>
      <c r="E34" s="8">
        <f>IF($A34="","",SUMIFS('Janvier 2027'!$C$8:$C$88,'Janvier 2027'!$A$8:$A$88,$A34))</f>
        <v/>
      </c>
      <c r="F34" s="8">
        <f>IF($A34="","",SUMIFS('Février 2027'!$C$8:$C$88,'Février 2027'!$A$8:$A$88,$A34))</f>
        <v/>
      </c>
      <c r="G34" s="8">
        <f>IF($A34="","",SUMIFS('Mars 2027'!$C$8:$C$88,'Mars 2027'!$A$8:$A$88,$A34))</f>
        <v/>
      </c>
      <c r="H34" s="8">
        <f>IF($A34="","",SUMIFS('Avril 2027'!$C$8:$C$88,'Avril 2027'!$A$8:$A$88,$A34))</f>
        <v/>
      </c>
      <c r="I34" s="8">
        <f>IF($A34="","",SUMIFS('Mai 2027'!$C$8:$C$88,'Mai 2027'!$A$8:$A$88,$A34))</f>
        <v/>
      </c>
      <c r="J34" s="8">
        <f>IF($A34="","",SUMIFS('Juin 2027'!$C$8:$C$88,'Juin 2027'!$A$8:$A$88,$A34))</f>
        <v/>
      </c>
      <c r="K34" s="8">
        <f>IF($A34="","",SUMIFS('Juillet 2027'!$C$8:$C$88,'Juillet 2027'!$A$8:$A$88,$A34))</f>
        <v/>
      </c>
      <c r="L34" s="8">
        <f>IF($A34="","",SUMIFS('Août 2027'!$C$8:$C$88,'Août 2027'!$A$8:$A$88,$A34))</f>
        <v/>
      </c>
      <c r="M34" s="8">
        <f>IF($A34="","",SUMIFS('Septembre 2027'!$C$8:$C$88,'Septembre 2027'!$A$8:$A$88,$A34))</f>
        <v/>
      </c>
      <c r="N34" s="9">
        <f>IF($A34="","",SUM(B34:M34))</f>
        <v/>
      </c>
      <c r="O34" s="8">
        <f>IF($A34="","",N34/12)</f>
        <v/>
      </c>
    </row>
    <row r="35">
      <c r="A35" s="10" t="inlineStr">
        <is>
          <t>Sans catégorie</t>
        </is>
      </c>
      <c r="B35" s="8">
        <f>'Octobre 2026'!$B$3-SUM(B5:B34)</f>
        <v/>
      </c>
      <c r="C35" s="8">
        <f>'Novembre 2026'!$B$3-SUM(C5:C34)</f>
        <v/>
      </c>
      <c r="D35" s="8">
        <f>'Décembre 2026'!$B$3-SUM(D5:D34)</f>
        <v/>
      </c>
      <c r="E35" s="8">
        <f>'Janvier 2027'!$B$3-SUM(E5:E34)</f>
        <v/>
      </c>
      <c r="F35" s="8">
        <f>'Février 2027'!$B$3-SUM(F5:F34)</f>
        <v/>
      </c>
      <c r="G35" s="8">
        <f>'Mars 2027'!$B$3-SUM(G5:G34)</f>
        <v/>
      </c>
      <c r="H35" s="8">
        <f>'Avril 2027'!$B$3-SUM(H5:H34)</f>
        <v/>
      </c>
      <c r="I35" s="8">
        <f>'Mai 2027'!$B$3-SUM(I5:I34)</f>
        <v/>
      </c>
      <c r="J35" s="8">
        <f>'Juin 2027'!$B$3-SUM(J5:J34)</f>
        <v/>
      </c>
      <c r="K35" s="8">
        <f>'Juillet 2027'!$B$3-SUM(K5:K34)</f>
        <v/>
      </c>
      <c r="L35" s="8">
        <f>'Août 2027'!$B$3-SUM(L5:L34)</f>
        <v/>
      </c>
      <c r="M35" s="8">
        <f>'Septembre 2027'!$B$3-SUM(M5:M34)</f>
        <v/>
      </c>
      <c r="N35" s="11">
        <f>SUM(B35:M35)</f>
        <v/>
      </c>
      <c r="O35" s="11">
        <f>N35/12</f>
        <v/>
      </c>
    </row>
    <row r="36">
      <c r="A36" s="12" t="inlineStr">
        <is>
          <t>TOTAL DU MOIS</t>
        </is>
      </c>
      <c r="B36" s="13">
        <f>'Octobre 2026'!$B$3</f>
        <v/>
      </c>
      <c r="C36" s="13">
        <f>'Novembre 2026'!$B$3</f>
        <v/>
      </c>
      <c r="D36" s="13">
        <f>'Décembre 2026'!$B$3</f>
        <v/>
      </c>
      <c r="E36" s="13">
        <f>'Janvier 2027'!$B$3</f>
        <v/>
      </c>
      <c r="F36" s="13">
        <f>'Février 2027'!$B$3</f>
        <v/>
      </c>
      <c r="G36" s="13">
        <f>'Mars 2027'!$B$3</f>
        <v/>
      </c>
      <c r="H36" s="13">
        <f>'Avril 2027'!$B$3</f>
        <v/>
      </c>
      <c r="I36" s="13">
        <f>'Mai 2027'!$B$3</f>
        <v/>
      </c>
      <c r="J36" s="13">
        <f>'Juin 2027'!$B$3</f>
        <v/>
      </c>
      <c r="K36" s="13">
        <f>'Juillet 2027'!$B$3</f>
        <v/>
      </c>
      <c r="L36" s="13">
        <f>'Août 2027'!$B$3</f>
        <v/>
      </c>
      <c r="M36" s="13">
        <f>'Septembre 2027'!$B$3</f>
        <v/>
      </c>
      <c r="N36" s="14">
        <f>SUM(B36:M36)</f>
        <v/>
      </c>
      <c r="O36" s="14">
        <f>N36/12</f>
        <v/>
      </c>
    </row>
    <row r="37">
      <c r="A37" s="15" t="inlineStr">
        <is>
          <t>Déjà payé</t>
        </is>
      </c>
      <c r="B37" s="16">
        <f>'Octobre 2026'!$B$4</f>
        <v/>
      </c>
      <c r="C37" s="16">
        <f>'Novembre 2026'!$B$4</f>
        <v/>
      </c>
      <c r="D37" s="16">
        <f>'Décembre 2026'!$B$4</f>
        <v/>
      </c>
      <c r="E37" s="16">
        <f>'Janvier 2027'!$B$4</f>
        <v/>
      </c>
      <c r="F37" s="16">
        <f>'Février 2027'!$B$4</f>
        <v/>
      </c>
      <c r="G37" s="16">
        <f>'Mars 2027'!$B$4</f>
        <v/>
      </c>
      <c r="H37" s="16">
        <f>'Avril 2027'!$B$4</f>
        <v/>
      </c>
      <c r="I37" s="16">
        <f>'Mai 2027'!$B$4</f>
        <v/>
      </c>
      <c r="J37" s="16">
        <f>'Juin 2027'!$B$4</f>
        <v/>
      </c>
      <c r="K37" s="16">
        <f>'Juillet 2027'!$B$4</f>
        <v/>
      </c>
      <c r="L37" s="16">
        <f>'Août 2027'!$B$4</f>
        <v/>
      </c>
      <c r="M37" s="16">
        <f>'Septembre 2027'!$B$4</f>
        <v/>
      </c>
      <c r="N37" s="9">
        <f>SUM(B37:M37)</f>
        <v/>
      </c>
      <c r="O37" s="8">
        <f>N37/12</f>
        <v/>
      </c>
    </row>
    <row r="38">
      <c r="A38" s="15" t="inlineStr">
        <is>
          <t>Reste à payer</t>
        </is>
      </c>
      <c r="B38" s="16">
        <f>'Octobre 2026'!$B$5</f>
        <v/>
      </c>
      <c r="C38" s="16">
        <f>'Novembre 2026'!$B$5</f>
        <v/>
      </c>
      <c r="D38" s="16">
        <f>'Décembre 2026'!$B$5</f>
        <v/>
      </c>
      <c r="E38" s="16">
        <f>'Janvier 2027'!$B$5</f>
        <v/>
      </c>
      <c r="F38" s="16">
        <f>'Février 2027'!$B$5</f>
        <v/>
      </c>
      <c r="G38" s="16">
        <f>'Mars 2027'!$B$5</f>
        <v/>
      </c>
      <c r="H38" s="16">
        <f>'Avril 2027'!$B$5</f>
        <v/>
      </c>
      <c r="I38" s="16">
        <f>'Mai 2027'!$B$5</f>
        <v/>
      </c>
      <c r="J38" s="16">
        <f>'Juin 2027'!$B$5</f>
        <v/>
      </c>
      <c r="K38" s="16">
        <f>'Juillet 2027'!$B$5</f>
        <v/>
      </c>
      <c r="L38" s="16">
        <f>'Août 2027'!$B$5</f>
        <v/>
      </c>
      <c r="M38" s="16">
        <f>'Septembre 2027'!$B$5</f>
        <v/>
      </c>
      <c r="N38" s="9">
        <f>SUM(B38:M38)</f>
        <v/>
      </c>
      <c r="O38" s="8">
        <f>N38/12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2" customWidth="1" min="4" max="4"/>
    <col width="10" customWidth="1" min="5" max="5"/>
  </cols>
  <sheetData>
    <row r="1">
      <c r="A1" s="17" t="inlineStr">
        <is>
          <t>Listes utilisées par les menus déroulants (vous pouvez ajouter / renommer)</t>
        </is>
      </c>
    </row>
    <row r="3">
      <c r="A3" s="6" t="inlineStr">
        <is>
          <t>Catégories</t>
        </is>
      </c>
      <c r="B3" s="6" t="inlineStr">
        <is>
          <t>Fréquences</t>
        </is>
      </c>
      <c r="C3" s="6" t="inlineStr">
        <is>
          <t>Modes de paiement</t>
        </is>
      </c>
      <c r="D3" s="6" t="inlineStr">
        <is>
          <t>Mois</t>
        </is>
      </c>
      <c r="E3" s="6" t="inlineStr">
        <is>
          <t>Payé ?</t>
        </is>
      </c>
    </row>
    <row r="4">
      <c r="A4" s="18" t="inlineStr">
        <is>
          <t>Logement (loyer, garage, charges)</t>
        </is>
      </c>
      <c r="B4" s="2" t="inlineStr">
        <is>
          <t>Mensuel</t>
        </is>
      </c>
      <c r="C4" s="19" t="inlineStr">
        <is>
          <t>Prélèvement</t>
        </is>
      </c>
      <c r="D4" s="2" t="inlineStr">
        <is>
          <t>Janvier</t>
        </is>
      </c>
      <c r="E4" s="2" t="inlineStr">
        <is>
          <t>Oui</t>
        </is>
      </c>
    </row>
    <row r="5">
      <c r="A5" s="18" t="inlineStr">
        <is>
          <t>Énergie &amp; eau</t>
        </is>
      </c>
      <c r="B5" s="2" t="inlineStr">
        <is>
          <t>Trimestriel</t>
        </is>
      </c>
      <c r="C5" s="19" t="inlineStr">
        <is>
          <t>Virement</t>
        </is>
      </c>
      <c r="D5" s="2" t="inlineStr">
        <is>
          <t>Février</t>
        </is>
      </c>
      <c r="E5" s="2" t="inlineStr">
        <is>
          <t>Non</t>
        </is>
      </c>
    </row>
    <row r="6">
      <c r="A6" s="18" t="inlineStr">
        <is>
          <t>Téléphone &amp; Internet</t>
        </is>
      </c>
      <c r="B6" s="2" t="inlineStr">
        <is>
          <t>Semestriel</t>
        </is>
      </c>
      <c r="C6" s="19" t="inlineStr">
        <is>
          <t>Carte bancaire</t>
        </is>
      </c>
      <c r="D6" s="2" t="inlineStr">
        <is>
          <t>Mars</t>
        </is>
      </c>
    </row>
    <row r="7">
      <c r="A7" s="18" t="inlineStr">
        <is>
          <t>Assurances</t>
        </is>
      </c>
      <c r="B7" s="2" t="inlineStr">
        <is>
          <t>Annuel</t>
        </is>
      </c>
      <c r="C7" s="19" t="inlineStr">
        <is>
          <t>Espèces</t>
        </is>
      </c>
      <c r="D7" s="2" t="inlineStr">
        <is>
          <t>Avril</t>
        </is>
      </c>
    </row>
    <row r="8">
      <c r="A8" s="18" t="inlineStr">
        <is>
          <t>Santé (hôpital, médecin, pharmacie)</t>
        </is>
      </c>
      <c r="C8" s="19" t="inlineStr">
        <is>
          <t>Chèque</t>
        </is>
      </c>
      <c r="D8" s="2" t="inlineStr">
        <is>
          <t>Mai</t>
        </is>
      </c>
    </row>
    <row r="9">
      <c r="A9" s="18" t="inlineStr">
        <is>
          <t>Transport &amp; voiture</t>
        </is>
      </c>
      <c r="C9" s="19" t="inlineStr">
        <is>
          <t>PayPal</t>
        </is>
      </c>
      <c r="D9" s="2" t="inlineStr">
        <is>
          <t>Juin</t>
        </is>
      </c>
    </row>
    <row r="10">
      <c r="A10" s="18" t="inlineStr">
        <is>
          <t>Abonnements (TV, streaming, sport…)</t>
        </is>
      </c>
      <c r="D10" s="2" t="inlineStr">
        <is>
          <t>Juillet</t>
        </is>
      </c>
    </row>
    <row r="11">
      <c r="A11" s="18" t="inlineStr">
        <is>
          <t>Crédits &amp; prêts</t>
        </is>
      </c>
      <c r="D11" s="2" t="inlineStr">
        <is>
          <t>Août</t>
        </is>
      </c>
    </row>
    <row r="12">
      <c r="A12" s="18" t="inlineStr">
        <is>
          <t>Impôts &amp; taxes</t>
        </is>
      </c>
      <c r="D12" s="2" t="inlineStr">
        <is>
          <t>Septembre</t>
        </is>
      </c>
    </row>
    <row r="13">
      <c r="A13" s="18" t="inlineStr">
        <is>
          <t>Banque (frais, cartes)</t>
        </is>
      </c>
      <c r="D13" s="2" t="inlineStr">
        <is>
          <t>Octobre</t>
        </is>
      </c>
    </row>
    <row r="14">
      <c r="A14" s="18" t="inlineStr">
        <is>
          <t>Business / Dropshipping</t>
        </is>
      </c>
      <c r="D14" s="2" t="inlineStr">
        <is>
          <t>Novembre</t>
        </is>
      </c>
    </row>
    <row r="15">
      <c r="A15" s="18" t="inlineStr">
        <is>
          <t>Publicité (Google, Meta, TikTok Ads)</t>
        </is>
      </c>
      <c r="D15" s="2" t="inlineStr">
        <is>
          <t>Décembre</t>
        </is>
      </c>
    </row>
    <row r="16">
      <c r="A16" s="18" t="inlineStr">
        <is>
          <t>Courses &amp; alimentation</t>
        </is>
      </c>
    </row>
    <row r="17">
      <c r="A17" s="18" t="inlineStr">
        <is>
          <t>Divers</t>
        </is>
      </c>
    </row>
    <row r="18">
      <c r="A18" s="18" t="n"/>
    </row>
    <row r="19">
      <c r="A19" s="18" t="n"/>
    </row>
    <row r="20">
      <c r="A20" s="18" t="n"/>
    </row>
    <row r="21">
      <c r="A21" s="18" t="n"/>
    </row>
    <row r="22">
      <c r="A22" s="18" t="n"/>
    </row>
    <row r="23">
      <c r="A23" s="18" t="n"/>
    </row>
    <row r="24">
      <c r="A24" s="18" t="n"/>
    </row>
    <row r="25">
      <c r="A25" s="18" t="n"/>
    </row>
    <row r="26">
      <c r="A26" s="18" t="n"/>
    </row>
    <row r="27">
      <c r="A27" s="18" t="n"/>
    </row>
    <row r="28">
      <c r="A28" s="18" t="n"/>
    </row>
    <row r="29">
      <c r="A29" s="18" t="n"/>
    </row>
    <row r="30">
      <c r="A30" s="18" t="n"/>
    </row>
    <row r="31">
      <c r="A31" s="18" t="n"/>
    </row>
    <row r="32">
      <c r="A32" s="18" t="n"/>
    </row>
    <row r="33">
      <c r="A33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13" customWidth="1" min="3" max="3"/>
    <col width="13" customWidth="1" min="4" max="4"/>
    <col width="17" customWidth="1" min="5" max="5"/>
    <col width="13" customWidth="1" min="6" max="6"/>
    <col width="16" customWidth="1" min="7" max="7"/>
    <col width="22" customWidth="1" min="8" max="8"/>
    <col width="26" customWidth="1" min="9" max="9"/>
    <col width="16" customWidth="1" min="10" max="10"/>
    <col width="9" customWidth="1" min="11" max="11"/>
  </cols>
  <sheetData>
    <row r="1">
      <c r="A1" s="1" t="inlineStr">
        <is>
          <t>Charges fixes &amp; abonnements (à saisir une seule fois)</t>
        </is>
      </c>
    </row>
    <row r="2">
      <c r="A2" s="5" t="inlineStr">
        <is>
          <t>Chaque ligne est recopiée automatiquement dans les 12 onglets mensuels, selon sa fréquence. Cellules jaunes = à remplir.</t>
        </is>
      </c>
    </row>
    <row r="3">
      <c r="A3" s="20" t="inlineStr">
        <is>
          <t>Coût moyen par mois :</t>
        </is>
      </c>
      <c r="D3" s="21">
        <f>SUM(J6:J55)</f>
        <v/>
      </c>
    </row>
    <row r="5" ht="32" customHeight="1">
      <c r="A5" s="6" t="inlineStr">
        <is>
          <t>Catégorie</t>
        </is>
      </c>
      <c r="B5" s="6" t="inlineStr">
        <is>
          <t>Libellé</t>
        </is>
      </c>
      <c r="C5" s="6" t="inlineStr">
        <is>
          <t>Montant (€)</t>
        </is>
      </c>
      <c r="D5" s="6" t="inlineStr">
        <is>
          <t>Fréquence</t>
        </is>
      </c>
      <c r="E5" s="6" t="inlineStr">
        <is>
          <t>Mois du 1er paiement
(si pas mensuel)</t>
        </is>
      </c>
      <c r="F5" s="6" t="inlineStr">
        <is>
          <t>Jour du paiement
(1-31)</t>
        </is>
      </c>
      <c r="G5" s="6" t="inlineStr">
        <is>
          <t>Mode de paiement</t>
        </is>
      </c>
      <c r="H5" s="6" t="inlineStr">
        <is>
          <t>Organisme / compte</t>
        </is>
      </c>
      <c r="I5" s="6" t="inlineStr">
        <is>
          <t>Remarques</t>
        </is>
      </c>
      <c r="J5" s="6" t="inlineStr">
        <is>
          <t>Coût moyen / mois (€)</t>
        </is>
      </c>
      <c r="K5" s="6" t="inlineStr">
        <is>
          <t>N° mois
(auto)</t>
        </is>
      </c>
    </row>
    <row r="6">
      <c r="A6" s="18" t="inlineStr">
        <is>
          <t>Logement (loyer, garage, charges)</t>
        </is>
      </c>
      <c r="B6" s="18" t="inlineStr">
        <is>
          <t>Loyer</t>
        </is>
      </c>
      <c r="C6" s="22" t="n"/>
      <c r="D6" s="18" t="inlineStr">
        <is>
          <t>Mensuel</t>
        </is>
      </c>
      <c r="E6" s="18" t="n"/>
      <c r="F6" s="18" t="n"/>
      <c r="G6" s="18" t="n"/>
      <c r="H6" s="18" t="n"/>
      <c r="I6" s="18" t="n"/>
      <c r="J6" s="8">
        <f>IF(B6="","",N(C6)*IF(D6="Trimestriel",1/3,IF(D6="Semestriel",1/6,IF(D6="Annuel",1/12,1))))</f>
        <v/>
      </c>
      <c r="K6" s="23">
        <f>IFERROR(MATCH(E6,Paramètres!$D$4:$D$15,0),0)</f>
        <v/>
      </c>
    </row>
    <row r="7">
      <c r="A7" s="18" t="inlineStr">
        <is>
          <t>Logement (loyer, garage, charges)</t>
        </is>
      </c>
      <c r="B7" s="18" t="inlineStr">
        <is>
          <t>Garage / parking</t>
        </is>
      </c>
      <c r="C7" s="22" t="n"/>
      <c r="D7" s="18" t="inlineStr">
        <is>
          <t>Mensuel</t>
        </is>
      </c>
      <c r="E7" s="18" t="n"/>
      <c r="F7" s="18" t="n"/>
      <c r="G7" s="18" t="n"/>
      <c r="H7" s="18" t="n"/>
      <c r="I7" s="18" t="n"/>
      <c r="J7" s="8">
        <f>IF(B7="","",N(C7)*IF(D7="Trimestriel",1/3,IF(D7="Semestriel",1/6,IF(D7="Annuel",1/12,1))))</f>
        <v/>
      </c>
      <c r="K7" s="23">
        <f>IFERROR(MATCH(E7,Paramètres!$D$4:$D$15,0),0)</f>
        <v/>
      </c>
    </row>
    <row r="8">
      <c r="A8" s="18" t="inlineStr">
        <is>
          <t>Logement (loyer, garage, charges)</t>
        </is>
      </c>
      <c r="B8" s="18" t="inlineStr">
        <is>
          <t>Charges de copropriété</t>
        </is>
      </c>
      <c r="C8" s="22" t="n"/>
      <c r="D8" s="18" t="inlineStr">
        <is>
          <t>Mensuel</t>
        </is>
      </c>
      <c r="E8" s="18" t="n"/>
      <c r="F8" s="18" t="n"/>
      <c r="G8" s="18" t="n"/>
      <c r="H8" s="18" t="n"/>
      <c r="I8" s="18" t="n"/>
      <c r="J8" s="8">
        <f>IF(B8="","",N(C8)*IF(D8="Trimestriel",1/3,IF(D8="Semestriel",1/6,IF(D8="Annuel",1/12,1))))</f>
        <v/>
      </c>
      <c r="K8" s="23">
        <f>IFERROR(MATCH(E8,Paramètres!$D$4:$D$15,0),0)</f>
        <v/>
      </c>
    </row>
    <row r="9">
      <c r="A9" s="18" t="inlineStr">
        <is>
          <t>Énergie &amp; eau</t>
        </is>
      </c>
      <c r="B9" s="18" t="inlineStr">
        <is>
          <t>Électricité</t>
        </is>
      </c>
      <c r="C9" s="22" t="n"/>
      <c r="D9" s="18" t="inlineStr">
        <is>
          <t>Mensuel</t>
        </is>
      </c>
      <c r="E9" s="18" t="n"/>
      <c r="F9" s="18" t="n"/>
      <c r="G9" s="18" t="n"/>
      <c r="H9" s="18" t="n"/>
      <c r="I9" s="18" t="n"/>
      <c r="J9" s="8">
        <f>IF(B9="","",N(C9)*IF(D9="Trimestriel",1/3,IF(D9="Semestriel",1/6,IF(D9="Annuel",1/12,1))))</f>
        <v/>
      </c>
      <c r="K9" s="23">
        <f>IFERROR(MATCH(E9,Paramètres!$D$4:$D$15,0),0)</f>
        <v/>
      </c>
    </row>
    <row r="10">
      <c r="A10" s="18" t="inlineStr">
        <is>
          <t>Énergie &amp; eau</t>
        </is>
      </c>
      <c r="B10" s="18" t="inlineStr">
        <is>
          <t>Gaz</t>
        </is>
      </c>
      <c r="C10" s="22" t="n"/>
      <c r="D10" s="18" t="inlineStr">
        <is>
          <t>Mensuel</t>
        </is>
      </c>
      <c r="E10" s="18" t="n"/>
      <c r="F10" s="18" t="n"/>
      <c r="G10" s="18" t="n"/>
      <c r="H10" s="18" t="n"/>
      <c r="I10" s="18" t="n"/>
      <c r="J10" s="8">
        <f>IF(B10="","",N(C10)*IF(D10="Trimestriel",1/3,IF(D10="Semestriel",1/6,IF(D10="Annuel",1/12,1))))</f>
        <v/>
      </c>
      <c r="K10" s="23">
        <f>IFERROR(MATCH(E10,Paramètres!$D$4:$D$15,0),0)</f>
        <v/>
      </c>
    </row>
    <row r="11">
      <c r="A11" s="18" t="inlineStr">
        <is>
          <t>Énergie &amp; eau</t>
        </is>
      </c>
      <c r="B11" s="18" t="inlineStr">
        <is>
          <t>Eau</t>
        </is>
      </c>
      <c r="C11" s="22" t="n"/>
      <c r="D11" s="18" t="inlineStr">
        <is>
          <t>Mensuel</t>
        </is>
      </c>
      <c r="E11" s="18" t="n"/>
      <c r="F11" s="18" t="n"/>
      <c r="G11" s="18" t="n"/>
      <c r="H11" s="18" t="n"/>
      <c r="I11" s="18" t="n"/>
      <c r="J11" s="8">
        <f>IF(B11="","",N(C11)*IF(D11="Trimestriel",1/3,IF(D11="Semestriel",1/6,IF(D11="Annuel",1/12,1))))</f>
        <v/>
      </c>
      <c r="K11" s="23">
        <f>IFERROR(MATCH(E11,Paramètres!$D$4:$D$15,0),0)</f>
        <v/>
      </c>
    </row>
    <row r="12">
      <c r="A12" s="18" t="inlineStr">
        <is>
          <t>Téléphone &amp; Internet</t>
        </is>
      </c>
      <c r="B12" s="18" t="inlineStr">
        <is>
          <t>Forfait téléphone mobile</t>
        </is>
      </c>
      <c r="C12" s="22" t="n"/>
      <c r="D12" s="18" t="inlineStr">
        <is>
          <t>Mensuel</t>
        </is>
      </c>
      <c r="E12" s="18" t="n"/>
      <c r="F12" s="18" t="n"/>
      <c r="G12" s="18" t="n"/>
      <c r="H12" s="18" t="n"/>
      <c r="I12" s="18" t="n"/>
      <c r="J12" s="8">
        <f>IF(B12="","",N(C12)*IF(D12="Trimestriel",1/3,IF(D12="Semestriel",1/6,IF(D12="Annuel",1/12,1))))</f>
        <v/>
      </c>
      <c r="K12" s="23">
        <f>IFERROR(MATCH(E12,Paramètres!$D$4:$D$15,0),0)</f>
        <v/>
      </c>
    </row>
    <row r="13">
      <c r="A13" s="18" t="inlineStr">
        <is>
          <t>Téléphone &amp; Internet</t>
        </is>
      </c>
      <c r="B13" s="18" t="inlineStr">
        <is>
          <t>Box Internet / Wifi</t>
        </is>
      </c>
      <c r="C13" s="22" t="n"/>
      <c r="D13" s="18" t="inlineStr">
        <is>
          <t>Mensuel</t>
        </is>
      </c>
      <c r="E13" s="18" t="n"/>
      <c r="F13" s="18" t="n"/>
      <c r="G13" s="18" t="n"/>
      <c r="H13" s="18" t="n"/>
      <c r="I13" s="18" t="n"/>
      <c r="J13" s="8">
        <f>IF(B13="","",N(C13)*IF(D13="Trimestriel",1/3,IF(D13="Semestriel",1/6,IF(D13="Annuel",1/12,1))))</f>
        <v/>
      </c>
      <c r="K13" s="23">
        <f>IFERROR(MATCH(E13,Paramètres!$D$4:$D$15,0),0)</f>
        <v/>
      </c>
    </row>
    <row r="14">
      <c r="A14" s="18" t="inlineStr">
        <is>
          <t>Assurances</t>
        </is>
      </c>
      <c r="B14" s="18" t="inlineStr">
        <is>
          <t>Mutuelle santé</t>
        </is>
      </c>
      <c r="C14" s="22" t="n"/>
      <c r="D14" s="18" t="inlineStr">
        <is>
          <t>Mensuel</t>
        </is>
      </c>
      <c r="E14" s="18" t="n"/>
      <c r="F14" s="18" t="n"/>
      <c r="G14" s="18" t="n"/>
      <c r="H14" s="18" t="n"/>
      <c r="I14" s="18" t="n"/>
      <c r="J14" s="8">
        <f>IF(B14="","",N(C14)*IF(D14="Trimestriel",1/3,IF(D14="Semestriel",1/6,IF(D14="Annuel",1/12,1))))</f>
        <v/>
      </c>
      <c r="K14" s="23">
        <f>IFERROR(MATCH(E14,Paramètres!$D$4:$D$15,0),0)</f>
        <v/>
      </c>
    </row>
    <row r="15">
      <c r="A15" s="18" t="inlineStr">
        <is>
          <t>Assurances</t>
        </is>
      </c>
      <c r="B15" s="18" t="inlineStr">
        <is>
          <t>Assurance auto</t>
        </is>
      </c>
      <c r="C15" s="22" t="n"/>
      <c r="D15" s="18" t="inlineStr">
        <is>
          <t>Mensuel</t>
        </is>
      </c>
      <c r="E15" s="18" t="n"/>
      <c r="F15" s="18" t="n"/>
      <c r="G15" s="18" t="n"/>
      <c r="H15" s="18" t="n"/>
      <c r="I15" s="18" t="n"/>
      <c r="J15" s="8">
        <f>IF(B15="","",N(C15)*IF(D15="Trimestriel",1/3,IF(D15="Semestriel",1/6,IF(D15="Annuel",1/12,1))))</f>
        <v/>
      </c>
      <c r="K15" s="23">
        <f>IFERROR(MATCH(E15,Paramètres!$D$4:$D$15,0),0)</f>
        <v/>
      </c>
    </row>
    <row r="16">
      <c r="A16" s="18" t="inlineStr">
        <is>
          <t>Assurances</t>
        </is>
      </c>
      <c r="B16" s="18" t="inlineStr">
        <is>
          <t>Assurance habitation</t>
        </is>
      </c>
      <c r="C16" s="22" t="n"/>
      <c r="D16" s="18" t="inlineStr">
        <is>
          <t>Mensuel</t>
        </is>
      </c>
      <c r="E16" s="18" t="n"/>
      <c r="F16" s="18" t="n"/>
      <c r="G16" s="18" t="n"/>
      <c r="H16" s="18" t="n"/>
      <c r="I16" s="18" t="n"/>
      <c r="J16" s="8">
        <f>IF(B16="","",N(C16)*IF(D16="Trimestriel",1/3,IF(D16="Semestriel",1/6,IF(D16="Annuel",1/12,1))))</f>
        <v/>
      </c>
      <c r="K16" s="23">
        <f>IFERROR(MATCH(E16,Paramètres!$D$4:$D$15,0),0)</f>
        <v/>
      </c>
    </row>
    <row r="17">
      <c r="A17" s="18" t="inlineStr">
        <is>
          <t>Assurances</t>
        </is>
      </c>
      <c r="B17" s="18" t="inlineStr">
        <is>
          <t>Assurance prêt / prévoyance</t>
        </is>
      </c>
      <c r="C17" s="22" t="n"/>
      <c r="D17" s="18" t="inlineStr">
        <is>
          <t>Mensuel</t>
        </is>
      </c>
      <c r="E17" s="18" t="n"/>
      <c r="F17" s="18" t="n"/>
      <c r="G17" s="18" t="n"/>
      <c r="H17" s="18" t="n"/>
      <c r="I17" s="18" t="n"/>
      <c r="J17" s="8">
        <f>IF(B17="","",N(C17)*IF(D17="Trimestriel",1/3,IF(D17="Semestriel",1/6,IF(D17="Annuel",1/12,1))))</f>
        <v/>
      </c>
      <c r="K17" s="23">
        <f>IFERROR(MATCH(E17,Paramètres!$D$4:$D$15,0),0)</f>
        <v/>
      </c>
    </row>
    <row r="18">
      <c r="A18" s="18" t="inlineStr">
        <is>
          <t>Transport &amp; voiture</t>
        </is>
      </c>
      <c r="B18" s="18" t="inlineStr">
        <is>
          <t>Crédit / LOA voiture</t>
        </is>
      </c>
      <c r="C18" s="22" t="n"/>
      <c r="D18" s="18" t="inlineStr">
        <is>
          <t>Mensuel</t>
        </is>
      </c>
      <c r="E18" s="18" t="n"/>
      <c r="F18" s="18" t="n"/>
      <c r="G18" s="18" t="n"/>
      <c r="H18" s="18" t="n"/>
      <c r="I18" s="18" t="n"/>
      <c r="J18" s="8">
        <f>IF(B18="","",N(C18)*IF(D18="Trimestriel",1/3,IF(D18="Semestriel",1/6,IF(D18="Annuel",1/12,1))))</f>
        <v/>
      </c>
      <c r="K18" s="23">
        <f>IFERROR(MATCH(E18,Paramètres!$D$4:$D$15,0),0)</f>
        <v/>
      </c>
    </row>
    <row r="19">
      <c r="A19" s="18" t="inlineStr">
        <is>
          <t>Transport &amp; voiture</t>
        </is>
      </c>
      <c r="B19" s="18" t="inlineStr">
        <is>
          <t>Carburant</t>
        </is>
      </c>
      <c r="C19" s="22" t="n"/>
      <c r="D19" s="18" t="inlineStr">
        <is>
          <t>Mensuel</t>
        </is>
      </c>
      <c r="E19" s="18" t="n"/>
      <c r="F19" s="18" t="n"/>
      <c r="G19" s="18" t="n"/>
      <c r="H19" s="18" t="n"/>
      <c r="I19" s="18" t="n"/>
      <c r="J19" s="8">
        <f>IF(B19="","",N(C19)*IF(D19="Trimestriel",1/3,IF(D19="Semestriel",1/6,IF(D19="Annuel",1/12,1))))</f>
        <v/>
      </c>
      <c r="K19" s="23">
        <f>IFERROR(MATCH(E19,Paramètres!$D$4:$D$15,0),0)</f>
        <v/>
      </c>
    </row>
    <row r="20">
      <c r="A20" s="18" t="inlineStr">
        <is>
          <t>Transport &amp; voiture</t>
        </is>
      </c>
      <c r="B20" s="18" t="inlineStr">
        <is>
          <t>Abonnement transports</t>
        </is>
      </c>
      <c r="C20" s="22" t="n"/>
      <c r="D20" s="18" t="inlineStr">
        <is>
          <t>Mensuel</t>
        </is>
      </c>
      <c r="E20" s="18" t="n"/>
      <c r="F20" s="18" t="n"/>
      <c r="G20" s="18" t="n"/>
      <c r="H20" s="18" t="n"/>
      <c r="I20" s="18" t="n"/>
      <c r="J20" s="8">
        <f>IF(B20="","",N(C20)*IF(D20="Trimestriel",1/3,IF(D20="Semestriel",1/6,IF(D20="Annuel",1/12,1))))</f>
        <v/>
      </c>
      <c r="K20" s="23">
        <f>IFERROR(MATCH(E20,Paramètres!$D$4:$D$15,0),0)</f>
        <v/>
      </c>
    </row>
    <row r="21">
      <c r="A21" s="18" t="inlineStr">
        <is>
          <t>Abonnements (TV, streaming, sport…)</t>
        </is>
      </c>
      <c r="B21" s="18" t="inlineStr">
        <is>
          <t>Netflix / streaming</t>
        </is>
      </c>
      <c r="C21" s="22" t="n"/>
      <c r="D21" s="18" t="inlineStr">
        <is>
          <t>Mensuel</t>
        </is>
      </c>
      <c r="E21" s="18" t="n"/>
      <c r="F21" s="18" t="n"/>
      <c r="G21" s="18" t="n"/>
      <c r="H21" s="18" t="n"/>
      <c r="I21" s="18" t="n"/>
      <c r="J21" s="8">
        <f>IF(B21="","",N(C21)*IF(D21="Trimestriel",1/3,IF(D21="Semestriel",1/6,IF(D21="Annuel",1/12,1))))</f>
        <v/>
      </c>
      <c r="K21" s="23">
        <f>IFERROR(MATCH(E21,Paramètres!$D$4:$D$15,0),0)</f>
        <v/>
      </c>
    </row>
    <row r="22">
      <c r="A22" s="18" t="inlineStr">
        <is>
          <t>Abonnements (TV, streaming, sport…)</t>
        </is>
      </c>
      <c r="B22" s="18" t="inlineStr">
        <is>
          <t>Spotify / musique</t>
        </is>
      </c>
      <c r="C22" s="22" t="n"/>
      <c r="D22" s="18" t="inlineStr">
        <is>
          <t>Mensuel</t>
        </is>
      </c>
      <c r="E22" s="18" t="n"/>
      <c r="F22" s="18" t="n"/>
      <c r="G22" s="18" t="n"/>
      <c r="H22" s="18" t="n"/>
      <c r="I22" s="18" t="n"/>
      <c r="J22" s="8">
        <f>IF(B22="","",N(C22)*IF(D22="Trimestriel",1/3,IF(D22="Semestriel",1/6,IF(D22="Annuel",1/12,1))))</f>
        <v/>
      </c>
      <c r="K22" s="23">
        <f>IFERROR(MATCH(E22,Paramètres!$D$4:$D$15,0),0)</f>
        <v/>
      </c>
    </row>
    <row r="23">
      <c r="A23" s="18" t="inlineStr">
        <is>
          <t>Abonnements (TV, streaming, sport…)</t>
        </is>
      </c>
      <c r="B23" s="18" t="inlineStr">
        <is>
          <t>Salle de sport</t>
        </is>
      </c>
      <c r="C23" s="22" t="n"/>
      <c r="D23" s="18" t="inlineStr">
        <is>
          <t>Mensuel</t>
        </is>
      </c>
      <c r="E23" s="18" t="n"/>
      <c r="F23" s="18" t="n"/>
      <c r="G23" s="18" t="n"/>
      <c r="H23" s="18" t="n"/>
      <c r="I23" s="18" t="n"/>
      <c r="J23" s="8">
        <f>IF(B23="","",N(C23)*IF(D23="Trimestriel",1/3,IF(D23="Semestriel",1/6,IF(D23="Annuel",1/12,1))))</f>
        <v/>
      </c>
      <c r="K23" s="23">
        <f>IFERROR(MATCH(E23,Paramètres!$D$4:$D$15,0),0)</f>
        <v/>
      </c>
    </row>
    <row r="24">
      <c r="A24" s="18" t="inlineStr">
        <is>
          <t>Crédits &amp; prêts</t>
        </is>
      </c>
      <c r="B24" s="18" t="inlineStr">
        <is>
          <t>Crédit consommation</t>
        </is>
      </c>
      <c r="C24" s="22" t="n"/>
      <c r="D24" s="18" t="inlineStr">
        <is>
          <t>Mensuel</t>
        </is>
      </c>
      <c r="E24" s="18" t="n"/>
      <c r="F24" s="18" t="n"/>
      <c r="G24" s="18" t="n"/>
      <c r="H24" s="18" t="n"/>
      <c r="I24" s="18" t="n"/>
      <c r="J24" s="8">
        <f>IF(B24="","",N(C24)*IF(D24="Trimestriel",1/3,IF(D24="Semestriel",1/6,IF(D24="Annuel",1/12,1))))</f>
        <v/>
      </c>
      <c r="K24" s="23">
        <f>IFERROR(MATCH(E24,Paramètres!$D$4:$D$15,0),0)</f>
        <v/>
      </c>
    </row>
    <row r="25">
      <c r="A25" s="18" t="inlineStr">
        <is>
          <t>Impôts &amp; taxes</t>
        </is>
      </c>
      <c r="B25" s="18" t="inlineStr">
        <is>
          <t>Impôt sur le revenu (mensualisé)</t>
        </is>
      </c>
      <c r="C25" s="22" t="n"/>
      <c r="D25" s="18" t="inlineStr">
        <is>
          <t>Mensuel</t>
        </is>
      </c>
      <c r="E25" s="18" t="n"/>
      <c r="F25" s="18" t="n"/>
      <c r="G25" s="18" t="n"/>
      <c r="H25" s="18" t="n"/>
      <c r="I25" s="18" t="n"/>
      <c r="J25" s="8">
        <f>IF(B25="","",N(C25)*IF(D25="Trimestriel",1/3,IF(D25="Semestriel",1/6,IF(D25="Annuel",1/12,1))))</f>
        <v/>
      </c>
      <c r="K25" s="23">
        <f>IFERROR(MATCH(E25,Paramètres!$D$4:$D$15,0),0)</f>
        <v/>
      </c>
    </row>
    <row r="26">
      <c r="A26" s="18" t="inlineStr">
        <is>
          <t>Impôts &amp; taxes</t>
        </is>
      </c>
      <c r="B26" s="18" t="inlineStr">
        <is>
          <t>Taxe foncière / habitation</t>
        </is>
      </c>
      <c r="C26" s="22" t="n"/>
      <c r="D26" s="18" t="inlineStr">
        <is>
          <t>Mensuel</t>
        </is>
      </c>
      <c r="E26" s="18" t="n"/>
      <c r="F26" s="18" t="n"/>
      <c r="G26" s="18" t="n"/>
      <c r="H26" s="18" t="n"/>
      <c r="I26" s="18" t="n"/>
      <c r="J26" s="8">
        <f>IF(B26="","",N(C26)*IF(D26="Trimestriel",1/3,IF(D26="Semestriel",1/6,IF(D26="Annuel",1/12,1))))</f>
        <v/>
      </c>
      <c r="K26" s="23">
        <f>IFERROR(MATCH(E26,Paramètres!$D$4:$D$15,0),0)</f>
        <v/>
      </c>
    </row>
    <row r="27">
      <c r="A27" s="18" t="inlineStr">
        <is>
          <t>Banque (frais, cartes)</t>
        </is>
      </c>
      <c r="B27" s="18" t="inlineStr">
        <is>
          <t>Frais de tenue de compte / carte</t>
        </is>
      </c>
      <c r="C27" s="22" t="n"/>
      <c r="D27" s="18" t="inlineStr">
        <is>
          <t>Mensuel</t>
        </is>
      </c>
      <c r="E27" s="18" t="n"/>
      <c r="F27" s="18" t="n"/>
      <c r="G27" s="18" t="n"/>
      <c r="H27" s="18" t="n"/>
      <c r="I27" s="18" t="n"/>
      <c r="J27" s="8">
        <f>IF(B27="","",N(C27)*IF(D27="Trimestriel",1/3,IF(D27="Semestriel",1/6,IF(D27="Annuel",1/12,1))))</f>
        <v/>
      </c>
      <c r="K27" s="23">
        <f>IFERROR(MATCH(E27,Paramètres!$D$4:$D$15,0),0)</f>
        <v/>
      </c>
    </row>
    <row r="28">
      <c r="A28" s="18" t="inlineStr">
        <is>
          <t>Business / Dropshipping</t>
        </is>
      </c>
      <c r="B28" s="18" t="inlineStr">
        <is>
          <t>Abonnement Shopify</t>
        </is>
      </c>
      <c r="C28" s="22" t="n"/>
      <c r="D28" s="18" t="inlineStr">
        <is>
          <t>Mensuel</t>
        </is>
      </c>
      <c r="E28" s="18" t="n"/>
      <c r="F28" s="18" t="n"/>
      <c r="G28" s="18" t="n"/>
      <c r="H28" s="18" t="n"/>
      <c r="I28" s="18" t="n"/>
      <c r="J28" s="8">
        <f>IF(B28="","",N(C28)*IF(D28="Trimestriel",1/3,IF(D28="Semestriel",1/6,IF(D28="Annuel",1/12,1))))</f>
        <v/>
      </c>
      <c r="K28" s="23">
        <f>IFERROR(MATCH(E28,Paramètres!$D$4:$D$15,0),0)</f>
        <v/>
      </c>
    </row>
    <row r="29">
      <c r="A29" s="18" t="inlineStr">
        <is>
          <t>Business / Dropshipping</t>
        </is>
      </c>
      <c r="B29" s="18" t="inlineStr">
        <is>
          <t>Applications Shopify</t>
        </is>
      </c>
      <c r="C29" s="22" t="n"/>
      <c r="D29" s="18" t="inlineStr">
        <is>
          <t>Mensuel</t>
        </is>
      </c>
      <c r="E29" s="18" t="n"/>
      <c r="F29" s="18" t="n"/>
      <c r="G29" s="18" t="n"/>
      <c r="H29" s="18" t="n"/>
      <c r="I29" s="18" t="n"/>
      <c r="J29" s="8">
        <f>IF(B29="","",N(C29)*IF(D29="Trimestriel",1/3,IF(D29="Semestriel",1/6,IF(D29="Annuel",1/12,1))))</f>
        <v/>
      </c>
      <c r="K29" s="23">
        <f>IFERROR(MATCH(E29,Paramètres!$D$4:$D$15,0),0)</f>
        <v/>
      </c>
    </row>
    <row r="30">
      <c r="A30" s="18" t="inlineStr">
        <is>
          <t>Business / Dropshipping</t>
        </is>
      </c>
      <c r="B30" s="18" t="inlineStr">
        <is>
          <t>Nom de domaine</t>
        </is>
      </c>
      <c r="C30" s="22" t="n"/>
      <c r="D30" s="18" t="inlineStr">
        <is>
          <t>Mensuel</t>
        </is>
      </c>
      <c r="E30" s="18" t="n"/>
      <c r="F30" s="18" t="n"/>
      <c r="G30" s="18" t="n"/>
      <c r="H30" s="18" t="n"/>
      <c r="I30" s="18" t="n"/>
      <c r="J30" s="8">
        <f>IF(B30="","",N(C30)*IF(D30="Trimestriel",1/3,IF(D30="Semestriel",1/6,IF(D30="Annuel",1/12,1))))</f>
        <v/>
      </c>
      <c r="K30" s="23">
        <f>IFERROR(MATCH(E30,Paramètres!$D$4:$D$15,0),0)</f>
        <v/>
      </c>
    </row>
    <row r="31">
      <c r="A31" s="18" t="inlineStr">
        <is>
          <t>Business / Dropshipping</t>
        </is>
      </c>
      <c r="B31" s="18" t="inlineStr">
        <is>
          <t>Outils (Canva, e-mailing…)</t>
        </is>
      </c>
      <c r="C31" s="22" t="n"/>
      <c r="D31" s="18" t="inlineStr">
        <is>
          <t>Mensuel</t>
        </is>
      </c>
      <c r="E31" s="18" t="n"/>
      <c r="F31" s="18" t="n"/>
      <c r="G31" s="18" t="n"/>
      <c r="H31" s="18" t="n"/>
      <c r="I31" s="18" t="n"/>
      <c r="J31" s="8">
        <f>IF(B31="","",N(C31)*IF(D31="Trimestriel",1/3,IF(D31="Semestriel",1/6,IF(D31="Annuel",1/12,1))))</f>
        <v/>
      </c>
      <c r="K31" s="23">
        <f>IFERROR(MATCH(E31,Paramètres!$D$4:$D$15,0),0)</f>
        <v/>
      </c>
    </row>
    <row r="32">
      <c r="A32" s="18" t="inlineStr">
        <is>
          <t>Publicité (Google, Meta, TikTok Ads)</t>
        </is>
      </c>
      <c r="B32" s="18" t="inlineStr">
        <is>
          <t>Google Ads</t>
        </is>
      </c>
      <c r="C32" s="22" t="n"/>
      <c r="D32" s="18" t="inlineStr">
        <is>
          <t>Mensuel</t>
        </is>
      </c>
      <c r="E32" s="18" t="n"/>
      <c r="F32" s="18" t="n"/>
      <c r="G32" s="18" t="n"/>
      <c r="H32" s="18" t="n"/>
      <c r="I32" s="18" t="n"/>
      <c r="J32" s="8">
        <f>IF(B32="","",N(C32)*IF(D32="Trimestriel",1/3,IF(D32="Semestriel",1/6,IF(D32="Annuel",1/12,1))))</f>
        <v/>
      </c>
      <c r="K32" s="23">
        <f>IFERROR(MATCH(E32,Paramètres!$D$4:$D$15,0),0)</f>
        <v/>
      </c>
    </row>
    <row r="33">
      <c r="A33" s="18" t="inlineStr">
        <is>
          <t>Publicité (Google, Meta, TikTok Ads)</t>
        </is>
      </c>
      <c r="B33" s="18" t="inlineStr">
        <is>
          <t>Meta Ads (Facebook / Instagram)</t>
        </is>
      </c>
      <c r="C33" s="22" t="n"/>
      <c r="D33" s="18" t="inlineStr">
        <is>
          <t>Mensuel</t>
        </is>
      </c>
      <c r="E33" s="18" t="n"/>
      <c r="F33" s="18" t="n"/>
      <c r="G33" s="18" t="n"/>
      <c r="H33" s="18" t="n"/>
      <c r="I33" s="18" t="n"/>
      <c r="J33" s="8">
        <f>IF(B33="","",N(C33)*IF(D33="Trimestriel",1/3,IF(D33="Semestriel",1/6,IF(D33="Annuel",1/12,1))))</f>
        <v/>
      </c>
      <c r="K33" s="23">
        <f>IFERROR(MATCH(E33,Paramètres!$D$4:$D$15,0),0)</f>
        <v/>
      </c>
    </row>
    <row r="34">
      <c r="A34" s="18" t="inlineStr">
        <is>
          <t>Publicité (Google, Meta, TikTok Ads)</t>
        </is>
      </c>
      <c r="B34" s="18" t="inlineStr">
        <is>
          <t>TikTok Ads</t>
        </is>
      </c>
      <c r="C34" s="22" t="n"/>
      <c r="D34" s="18" t="inlineStr">
        <is>
          <t>Mensuel</t>
        </is>
      </c>
      <c r="E34" s="18" t="n"/>
      <c r="F34" s="18" t="n"/>
      <c r="G34" s="18" t="n"/>
      <c r="H34" s="18" t="n"/>
      <c r="I34" s="18" t="n"/>
      <c r="J34" s="8">
        <f>IF(B34="","",N(C34)*IF(D34="Trimestriel",1/3,IF(D34="Semestriel",1/6,IF(D34="Annuel",1/12,1))))</f>
        <v/>
      </c>
      <c r="K34" s="23">
        <f>IFERROR(MATCH(E34,Paramètres!$D$4:$D$15,0),0)</f>
        <v/>
      </c>
    </row>
    <row r="35">
      <c r="A35" s="18" t="n"/>
      <c r="B35" s="18" t="n"/>
      <c r="C35" s="22" t="n"/>
      <c r="D35" s="18" t="n"/>
      <c r="E35" s="18" t="n"/>
      <c r="F35" s="18" t="n"/>
      <c r="G35" s="18" t="n"/>
      <c r="H35" s="18" t="n"/>
      <c r="I35" s="18" t="n"/>
      <c r="J35" s="8">
        <f>IF(B35="","",N(C35)*IF(D35="Trimestriel",1/3,IF(D35="Semestriel",1/6,IF(D35="Annuel",1/12,1))))</f>
        <v/>
      </c>
      <c r="K35" s="23">
        <f>IFERROR(MATCH(E35,Paramètres!$D$4:$D$15,0),0)</f>
        <v/>
      </c>
    </row>
    <row r="36">
      <c r="A36" s="18" t="n"/>
      <c r="B36" s="18" t="n"/>
      <c r="C36" s="22" t="n"/>
      <c r="D36" s="18" t="n"/>
      <c r="E36" s="18" t="n"/>
      <c r="F36" s="18" t="n"/>
      <c r="G36" s="18" t="n"/>
      <c r="H36" s="18" t="n"/>
      <c r="I36" s="18" t="n"/>
      <c r="J36" s="8">
        <f>IF(B36="","",N(C36)*IF(D36="Trimestriel",1/3,IF(D36="Semestriel",1/6,IF(D36="Annuel",1/12,1))))</f>
        <v/>
      </c>
      <c r="K36" s="23">
        <f>IFERROR(MATCH(E36,Paramètres!$D$4:$D$15,0),0)</f>
        <v/>
      </c>
    </row>
    <row r="37">
      <c r="A37" s="18" t="n"/>
      <c r="B37" s="18" t="n"/>
      <c r="C37" s="22" t="n"/>
      <c r="D37" s="18" t="n"/>
      <c r="E37" s="18" t="n"/>
      <c r="F37" s="18" t="n"/>
      <c r="G37" s="18" t="n"/>
      <c r="H37" s="18" t="n"/>
      <c r="I37" s="18" t="n"/>
      <c r="J37" s="8">
        <f>IF(B37="","",N(C37)*IF(D37="Trimestriel",1/3,IF(D37="Semestriel",1/6,IF(D37="Annuel",1/12,1))))</f>
        <v/>
      </c>
      <c r="K37" s="23">
        <f>IFERROR(MATCH(E37,Paramètres!$D$4:$D$15,0),0)</f>
        <v/>
      </c>
    </row>
    <row r="38">
      <c r="A38" s="18" t="n"/>
      <c r="B38" s="18" t="n"/>
      <c r="C38" s="22" t="n"/>
      <c r="D38" s="18" t="n"/>
      <c r="E38" s="18" t="n"/>
      <c r="F38" s="18" t="n"/>
      <c r="G38" s="18" t="n"/>
      <c r="H38" s="18" t="n"/>
      <c r="I38" s="18" t="n"/>
      <c r="J38" s="8">
        <f>IF(B38="","",N(C38)*IF(D38="Trimestriel",1/3,IF(D38="Semestriel",1/6,IF(D38="Annuel",1/12,1))))</f>
        <v/>
      </c>
      <c r="K38" s="23">
        <f>IFERROR(MATCH(E38,Paramètres!$D$4:$D$15,0),0)</f>
        <v/>
      </c>
    </row>
    <row r="39">
      <c r="A39" s="18" t="n"/>
      <c r="B39" s="18" t="n"/>
      <c r="C39" s="22" t="n"/>
      <c r="D39" s="18" t="n"/>
      <c r="E39" s="18" t="n"/>
      <c r="F39" s="18" t="n"/>
      <c r="G39" s="18" t="n"/>
      <c r="H39" s="18" t="n"/>
      <c r="I39" s="18" t="n"/>
      <c r="J39" s="8">
        <f>IF(B39="","",N(C39)*IF(D39="Trimestriel",1/3,IF(D39="Semestriel",1/6,IF(D39="Annuel",1/12,1))))</f>
        <v/>
      </c>
      <c r="K39" s="23">
        <f>IFERROR(MATCH(E39,Paramètres!$D$4:$D$15,0),0)</f>
        <v/>
      </c>
    </row>
    <row r="40">
      <c r="A40" s="18" t="n"/>
      <c r="B40" s="18" t="n"/>
      <c r="C40" s="22" t="n"/>
      <c r="D40" s="18" t="n"/>
      <c r="E40" s="18" t="n"/>
      <c r="F40" s="18" t="n"/>
      <c r="G40" s="18" t="n"/>
      <c r="H40" s="18" t="n"/>
      <c r="I40" s="18" t="n"/>
      <c r="J40" s="8">
        <f>IF(B40="","",N(C40)*IF(D40="Trimestriel",1/3,IF(D40="Semestriel",1/6,IF(D40="Annuel",1/12,1))))</f>
        <v/>
      </c>
      <c r="K40" s="23">
        <f>IFERROR(MATCH(E40,Paramètres!$D$4:$D$15,0),0)</f>
        <v/>
      </c>
    </row>
    <row r="41">
      <c r="A41" s="18" t="n"/>
      <c r="B41" s="18" t="n"/>
      <c r="C41" s="22" t="n"/>
      <c r="D41" s="18" t="n"/>
      <c r="E41" s="18" t="n"/>
      <c r="F41" s="18" t="n"/>
      <c r="G41" s="18" t="n"/>
      <c r="H41" s="18" t="n"/>
      <c r="I41" s="18" t="n"/>
      <c r="J41" s="8">
        <f>IF(B41="","",N(C41)*IF(D41="Trimestriel",1/3,IF(D41="Semestriel",1/6,IF(D41="Annuel",1/12,1))))</f>
        <v/>
      </c>
      <c r="K41" s="23">
        <f>IFERROR(MATCH(E41,Paramètres!$D$4:$D$15,0),0)</f>
        <v/>
      </c>
    </row>
    <row r="42">
      <c r="A42" s="18" t="n"/>
      <c r="B42" s="18" t="n"/>
      <c r="C42" s="22" t="n"/>
      <c r="D42" s="18" t="n"/>
      <c r="E42" s="18" t="n"/>
      <c r="F42" s="18" t="n"/>
      <c r="G42" s="18" t="n"/>
      <c r="H42" s="18" t="n"/>
      <c r="I42" s="18" t="n"/>
      <c r="J42" s="8">
        <f>IF(B42="","",N(C42)*IF(D42="Trimestriel",1/3,IF(D42="Semestriel",1/6,IF(D42="Annuel",1/12,1))))</f>
        <v/>
      </c>
      <c r="K42" s="23">
        <f>IFERROR(MATCH(E42,Paramètres!$D$4:$D$15,0),0)</f>
        <v/>
      </c>
    </row>
    <row r="43">
      <c r="A43" s="18" t="n"/>
      <c r="B43" s="18" t="n"/>
      <c r="C43" s="22" t="n"/>
      <c r="D43" s="18" t="n"/>
      <c r="E43" s="18" t="n"/>
      <c r="F43" s="18" t="n"/>
      <c r="G43" s="18" t="n"/>
      <c r="H43" s="18" t="n"/>
      <c r="I43" s="18" t="n"/>
      <c r="J43" s="8">
        <f>IF(B43="","",N(C43)*IF(D43="Trimestriel",1/3,IF(D43="Semestriel",1/6,IF(D43="Annuel",1/12,1))))</f>
        <v/>
      </c>
      <c r="K43" s="23">
        <f>IFERROR(MATCH(E43,Paramètres!$D$4:$D$15,0),0)</f>
        <v/>
      </c>
    </row>
    <row r="44">
      <c r="A44" s="18" t="n"/>
      <c r="B44" s="18" t="n"/>
      <c r="C44" s="22" t="n"/>
      <c r="D44" s="18" t="n"/>
      <c r="E44" s="18" t="n"/>
      <c r="F44" s="18" t="n"/>
      <c r="G44" s="18" t="n"/>
      <c r="H44" s="18" t="n"/>
      <c r="I44" s="18" t="n"/>
      <c r="J44" s="8">
        <f>IF(B44="","",N(C44)*IF(D44="Trimestriel",1/3,IF(D44="Semestriel",1/6,IF(D44="Annuel",1/12,1))))</f>
        <v/>
      </c>
      <c r="K44" s="23">
        <f>IFERROR(MATCH(E44,Paramètres!$D$4:$D$15,0),0)</f>
        <v/>
      </c>
    </row>
    <row r="45">
      <c r="A45" s="18" t="n"/>
      <c r="B45" s="18" t="n"/>
      <c r="C45" s="22" t="n"/>
      <c r="D45" s="18" t="n"/>
      <c r="E45" s="18" t="n"/>
      <c r="F45" s="18" t="n"/>
      <c r="G45" s="18" t="n"/>
      <c r="H45" s="18" t="n"/>
      <c r="I45" s="18" t="n"/>
      <c r="J45" s="8">
        <f>IF(B45="","",N(C45)*IF(D45="Trimestriel",1/3,IF(D45="Semestriel",1/6,IF(D45="Annuel",1/12,1))))</f>
        <v/>
      </c>
      <c r="K45" s="23">
        <f>IFERROR(MATCH(E45,Paramètres!$D$4:$D$15,0),0)</f>
        <v/>
      </c>
    </row>
    <row r="46">
      <c r="A46" s="18" t="n"/>
      <c r="B46" s="18" t="n"/>
      <c r="C46" s="22" t="n"/>
      <c r="D46" s="18" t="n"/>
      <c r="E46" s="18" t="n"/>
      <c r="F46" s="18" t="n"/>
      <c r="G46" s="18" t="n"/>
      <c r="H46" s="18" t="n"/>
      <c r="I46" s="18" t="n"/>
      <c r="J46" s="8">
        <f>IF(B46="","",N(C46)*IF(D46="Trimestriel",1/3,IF(D46="Semestriel",1/6,IF(D46="Annuel",1/12,1))))</f>
        <v/>
      </c>
      <c r="K46" s="23">
        <f>IFERROR(MATCH(E46,Paramètres!$D$4:$D$15,0),0)</f>
        <v/>
      </c>
    </row>
    <row r="47">
      <c r="A47" s="18" t="n"/>
      <c r="B47" s="18" t="n"/>
      <c r="C47" s="22" t="n"/>
      <c r="D47" s="18" t="n"/>
      <c r="E47" s="18" t="n"/>
      <c r="F47" s="18" t="n"/>
      <c r="G47" s="18" t="n"/>
      <c r="H47" s="18" t="n"/>
      <c r="I47" s="18" t="n"/>
      <c r="J47" s="8">
        <f>IF(B47="","",N(C47)*IF(D47="Trimestriel",1/3,IF(D47="Semestriel",1/6,IF(D47="Annuel",1/12,1))))</f>
        <v/>
      </c>
      <c r="K47" s="23">
        <f>IFERROR(MATCH(E47,Paramètres!$D$4:$D$15,0),0)</f>
        <v/>
      </c>
    </row>
    <row r="48">
      <c r="A48" s="18" t="n"/>
      <c r="B48" s="18" t="n"/>
      <c r="C48" s="22" t="n"/>
      <c r="D48" s="18" t="n"/>
      <c r="E48" s="18" t="n"/>
      <c r="F48" s="18" t="n"/>
      <c r="G48" s="18" t="n"/>
      <c r="H48" s="18" t="n"/>
      <c r="I48" s="18" t="n"/>
      <c r="J48" s="8">
        <f>IF(B48="","",N(C48)*IF(D48="Trimestriel",1/3,IF(D48="Semestriel",1/6,IF(D48="Annuel",1/12,1))))</f>
        <v/>
      </c>
      <c r="K48" s="23">
        <f>IFERROR(MATCH(E48,Paramètres!$D$4:$D$15,0),0)</f>
        <v/>
      </c>
    </row>
    <row r="49">
      <c r="A49" s="18" t="n"/>
      <c r="B49" s="18" t="n"/>
      <c r="C49" s="22" t="n"/>
      <c r="D49" s="18" t="n"/>
      <c r="E49" s="18" t="n"/>
      <c r="F49" s="18" t="n"/>
      <c r="G49" s="18" t="n"/>
      <c r="H49" s="18" t="n"/>
      <c r="I49" s="18" t="n"/>
      <c r="J49" s="8">
        <f>IF(B49="","",N(C49)*IF(D49="Trimestriel",1/3,IF(D49="Semestriel",1/6,IF(D49="Annuel",1/12,1))))</f>
        <v/>
      </c>
      <c r="K49" s="23">
        <f>IFERROR(MATCH(E49,Paramètres!$D$4:$D$15,0),0)</f>
        <v/>
      </c>
    </row>
    <row r="50">
      <c r="A50" s="18" t="n"/>
      <c r="B50" s="18" t="n"/>
      <c r="C50" s="22" t="n"/>
      <c r="D50" s="18" t="n"/>
      <c r="E50" s="18" t="n"/>
      <c r="F50" s="18" t="n"/>
      <c r="G50" s="18" t="n"/>
      <c r="H50" s="18" t="n"/>
      <c r="I50" s="18" t="n"/>
      <c r="J50" s="8">
        <f>IF(B50="","",N(C50)*IF(D50="Trimestriel",1/3,IF(D50="Semestriel",1/6,IF(D50="Annuel",1/12,1))))</f>
        <v/>
      </c>
      <c r="K50" s="23">
        <f>IFERROR(MATCH(E50,Paramètres!$D$4:$D$15,0),0)</f>
        <v/>
      </c>
    </row>
    <row r="51">
      <c r="A51" s="18" t="n"/>
      <c r="B51" s="18" t="n"/>
      <c r="C51" s="22" t="n"/>
      <c r="D51" s="18" t="n"/>
      <c r="E51" s="18" t="n"/>
      <c r="F51" s="18" t="n"/>
      <c r="G51" s="18" t="n"/>
      <c r="H51" s="18" t="n"/>
      <c r="I51" s="18" t="n"/>
      <c r="J51" s="8">
        <f>IF(B51="","",N(C51)*IF(D51="Trimestriel",1/3,IF(D51="Semestriel",1/6,IF(D51="Annuel",1/12,1))))</f>
        <v/>
      </c>
      <c r="K51" s="23">
        <f>IFERROR(MATCH(E51,Paramètres!$D$4:$D$15,0),0)</f>
        <v/>
      </c>
    </row>
    <row r="52">
      <c r="A52" s="18" t="n"/>
      <c r="B52" s="18" t="n"/>
      <c r="C52" s="22" t="n"/>
      <c r="D52" s="18" t="n"/>
      <c r="E52" s="18" t="n"/>
      <c r="F52" s="18" t="n"/>
      <c r="G52" s="18" t="n"/>
      <c r="H52" s="18" t="n"/>
      <c r="I52" s="18" t="n"/>
      <c r="J52" s="8">
        <f>IF(B52="","",N(C52)*IF(D52="Trimestriel",1/3,IF(D52="Semestriel",1/6,IF(D52="Annuel",1/12,1))))</f>
        <v/>
      </c>
      <c r="K52" s="23">
        <f>IFERROR(MATCH(E52,Paramètres!$D$4:$D$15,0),0)</f>
        <v/>
      </c>
    </row>
    <row r="53">
      <c r="A53" s="18" t="n"/>
      <c r="B53" s="18" t="n"/>
      <c r="C53" s="22" t="n"/>
      <c r="D53" s="18" t="n"/>
      <c r="E53" s="18" t="n"/>
      <c r="F53" s="18" t="n"/>
      <c r="G53" s="18" t="n"/>
      <c r="H53" s="18" t="n"/>
      <c r="I53" s="18" t="n"/>
      <c r="J53" s="8">
        <f>IF(B53="","",N(C53)*IF(D53="Trimestriel",1/3,IF(D53="Semestriel",1/6,IF(D53="Annuel",1/12,1))))</f>
        <v/>
      </c>
      <c r="K53" s="23">
        <f>IFERROR(MATCH(E53,Paramètres!$D$4:$D$15,0),0)</f>
        <v/>
      </c>
    </row>
    <row r="54">
      <c r="A54" s="18" t="n"/>
      <c r="B54" s="18" t="n"/>
      <c r="C54" s="22" t="n"/>
      <c r="D54" s="18" t="n"/>
      <c r="E54" s="18" t="n"/>
      <c r="F54" s="18" t="n"/>
      <c r="G54" s="18" t="n"/>
      <c r="H54" s="18" t="n"/>
      <c r="I54" s="18" t="n"/>
      <c r="J54" s="8">
        <f>IF(B54="","",N(C54)*IF(D54="Trimestriel",1/3,IF(D54="Semestriel",1/6,IF(D54="Annuel",1/12,1))))</f>
        <v/>
      </c>
      <c r="K54" s="23">
        <f>IFERROR(MATCH(E54,Paramètres!$D$4:$D$15,0),0)</f>
        <v/>
      </c>
    </row>
    <row r="55">
      <c r="A55" s="18" t="n"/>
      <c r="B55" s="18" t="n"/>
      <c r="C55" s="22" t="n"/>
      <c r="D55" s="18" t="n"/>
      <c r="E55" s="18" t="n"/>
      <c r="F55" s="18" t="n"/>
      <c r="G55" s="18" t="n"/>
      <c r="H55" s="18" t="n"/>
      <c r="I55" s="18" t="n"/>
      <c r="J55" s="8">
        <f>IF(B55="","",N(C55)*IF(D55="Trimestriel",1/3,IF(D55="Semestriel",1/6,IF(D55="Annuel",1/12,1))))</f>
        <v/>
      </c>
      <c r="K55" s="23">
        <f>IFERROR(MATCH(E55,Paramètres!$D$4:$D$15,0),0)</f>
        <v/>
      </c>
    </row>
    <row r="56">
      <c r="A56" s="12" t="inlineStr">
        <is>
          <t>TOTAL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14">
        <f>SUM(J6:J55)</f>
        <v/>
      </c>
      <c r="K56" s="24" t="n"/>
    </row>
  </sheetData>
  <dataValidations count="5">
    <dataValidation sqref="A6:A55" showDropDown="0" showInputMessage="0" showErrorMessage="0" allowBlank="1" type="list">
      <formula1>=Paramètres!$A$4:$A$33</formula1>
    </dataValidation>
    <dataValidation sqref="D6:D55" showDropDown="0" showInputMessage="0" showErrorMessage="0" allowBlank="1" type="list">
      <formula1>=Paramètres!$B$4:$B$7</formula1>
    </dataValidation>
    <dataValidation sqref="E6:E55" showDropDown="0" showInputMessage="0" showErrorMessage="0" allowBlank="1" type="list">
      <formula1>=Paramètres!$D$4:$D$15</formula1>
    </dataValidation>
    <dataValidation sqref="F6:F55" showDropDown="0" showInputMessage="0" showErrorMessage="1" allowBlank="1" error="Entrez un jour entre 1 et 31" type="whole" operator="between">
      <formula1>1</formula1>
      <formula2>31</formula2>
    </dataValidation>
    <dataValidation sqref="G6:G55" showDropDown="0" showInputMessage="0" showErrorMessage="0" allowBlank="1" type="list">
      <formula1>=Paramètres!$C$4:$C$13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Octobre 2026</t>
        </is>
      </c>
    </row>
    <row r="2">
      <c r="A2" s="20" t="inlineStr">
        <is>
          <t>Mois :</t>
        </is>
      </c>
      <c r="B2" s="25" t="n">
        <v>46296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Novembre 2026</t>
        </is>
      </c>
    </row>
    <row r="2">
      <c r="A2" s="20" t="inlineStr">
        <is>
          <t>Mois :</t>
        </is>
      </c>
      <c r="B2" s="25" t="n">
        <v>46327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Décembre 2026</t>
        </is>
      </c>
    </row>
    <row r="2">
      <c r="A2" s="20" t="inlineStr">
        <is>
          <t>Mois :</t>
        </is>
      </c>
      <c r="B2" s="25" t="n">
        <v>46357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Janvier 2027</t>
        </is>
      </c>
    </row>
    <row r="2">
      <c r="A2" s="20" t="inlineStr">
        <is>
          <t>Mois :</t>
        </is>
      </c>
      <c r="B2" s="25" t="n">
        <v>46388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Février 2027</t>
        </is>
      </c>
    </row>
    <row r="2">
      <c r="A2" s="20" t="inlineStr">
        <is>
          <t>Mois :</t>
        </is>
      </c>
      <c r="B2" s="25" t="n">
        <v>46419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Mars 2027</t>
        </is>
      </c>
    </row>
    <row r="2">
      <c r="A2" s="20" t="inlineStr">
        <is>
          <t>Mois :</t>
        </is>
      </c>
      <c r="B2" s="25" t="n">
        <v>46447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Avril 2027</t>
        </is>
      </c>
    </row>
    <row r="2">
      <c r="A2" s="20" t="inlineStr">
        <is>
          <t>Mois :</t>
        </is>
      </c>
      <c r="B2" s="25" t="n">
        <v>46478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Mai 2027</t>
        </is>
      </c>
    </row>
    <row r="2">
      <c r="A2" s="20" t="inlineStr">
        <is>
          <t>Mois :</t>
        </is>
      </c>
      <c r="B2" s="25" t="n">
        <v>46508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Juin 2027</t>
        </is>
      </c>
    </row>
    <row r="2">
      <c r="A2" s="20" t="inlineStr">
        <is>
          <t>Mois :</t>
        </is>
      </c>
      <c r="B2" s="25" t="n">
        <v>46539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Juillet 2027</t>
        </is>
      </c>
    </row>
    <row r="2">
      <c r="A2" s="20" t="inlineStr">
        <is>
          <t>Mois :</t>
        </is>
      </c>
      <c r="B2" s="25" t="n">
        <v>46569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Août 2027</t>
        </is>
      </c>
    </row>
    <row r="2">
      <c r="A2" s="20" t="inlineStr">
        <is>
          <t>Mois :</t>
        </is>
      </c>
      <c r="B2" s="25" t="n">
        <v>46600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Dépenses — Septembre 2027</t>
        </is>
      </c>
    </row>
    <row r="2">
      <c r="A2" s="20" t="inlineStr">
        <is>
          <t>Mois :</t>
        </is>
      </c>
      <c r="B2" s="25" t="n">
        <v>46631</v>
      </c>
    </row>
    <row r="3">
      <c r="A3" s="20" t="inlineStr">
        <is>
          <t>Total du mois</t>
        </is>
      </c>
      <c r="B3" s="26">
        <f>SUM(C8:C88)</f>
        <v/>
      </c>
      <c r="D3" s="5" t="inlineStr">
        <is>
          <t>Rouge = date passée et pas encore payé  ·  Orange = à payer dans les 7 jours</t>
        </is>
      </c>
    </row>
    <row r="4">
      <c r="A4" s="20" t="inlineStr">
        <is>
          <t>Déjà payé</t>
        </is>
      </c>
      <c r="B4" s="26">
        <f>SUMIFS(C8:C88,F8:F88,"Oui")</f>
        <v/>
      </c>
      <c r="D4" s="5" t="inlineStr">
        <is>
          <t>Colonne « Payé ? » : choisissez Oui quand le montant est sorti du compte.</t>
        </is>
      </c>
    </row>
    <row r="5">
      <c r="A5" s="20" t="inlineStr">
        <is>
          <t>Reste à payer</t>
        </is>
      </c>
      <c r="B5" s="26">
        <f>B3-B4</f>
        <v/>
      </c>
    </row>
    <row r="7" ht="30" customHeight="1">
      <c r="A7" s="6" t="inlineStr">
        <is>
          <t>Catégorie</t>
        </is>
      </c>
      <c r="B7" s="6" t="inlineStr">
        <is>
          <t>Libellé</t>
        </is>
      </c>
      <c r="C7" s="6" t="inlineStr">
        <is>
          <t>Montant (€)</t>
        </is>
      </c>
      <c r="D7" s="6" t="inlineStr">
        <is>
          <t>Date de paiement / prélèvement</t>
        </is>
      </c>
      <c r="E7" s="6" t="inlineStr">
        <is>
          <t>Mode de paiement</t>
        </is>
      </c>
      <c r="F7" s="6" t="inlineStr">
        <is>
          <t>Payé ?</t>
        </is>
      </c>
      <c r="G7" s="6" t="inlineStr">
        <is>
          <t>Remarques</t>
        </is>
      </c>
    </row>
    <row r="8">
      <c r="A8" s="27">
        <f>IF('Charges fixes'!$B$6="","",'Charges fixes'!$A$6&amp;"")</f>
        <v/>
      </c>
      <c r="B8" s="27">
        <f>IF('Charges fixes'!$B$6="","",'Charges fixes'!$B$6)</f>
        <v/>
      </c>
      <c r="C8" s="8">
        <f>IF('Charges fixes'!$B$6="","",IF(OR('Charges fixes'!$D$6="Mensuel",'Charges fixes'!$D$6="",AND('Charges fixes'!$K$6&gt;0,OR(AND('Charges fixes'!$D$6="Trimestriel",MOD(MONTH($B$2)-'Charges fixes'!$K$6+12,3)=0),AND('Charges fixes'!$D$6="Semestriel",MOD(MONTH($B$2)-'Charges fixes'!$K$6+12,6)=0),AND('Charges fixes'!$D$6="Annuel",MONTH($B$2)='Charges fixes'!$K$6)))),N('Charges fixes'!$C$6),0))</f>
        <v/>
      </c>
      <c r="D8" s="28">
        <f>IF(OR('Charges fixes'!$B$6="",'Charges fixes'!$F$6="",N(C8)=0),"",DATE(YEAR($B$2),MONTH($B$2),MIN('Charges fixes'!$F$6,DAY(EOMONTH($B$2,0)))))</f>
        <v/>
      </c>
      <c r="E8" s="27">
        <f>IF('Charges fixes'!$B$6="","",'Charges fixes'!$G$6&amp;"")</f>
        <v/>
      </c>
      <c r="F8" s="18" t="n"/>
      <c r="G8" s="18" t="n"/>
    </row>
    <row r="9">
      <c r="A9" s="27">
        <f>IF('Charges fixes'!$B$7="","",'Charges fixes'!$A$7&amp;"")</f>
        <v/>
      </c>
      <c r="B9" s="27">
        <f>IF('Charges fixes'!$B$7="","",'Charges fixes'!$B$7)</f>
        <v/>
      </c>
      <c r="C9" s="8">
        <f>IF('Charges fixes'!$B$7="","",IF(OR('Charges fixes'!$D$7="Mensuel",'Charges fixes'!$D$7="",AND('Charges fixes'!$K$7&gt;0,OR(AND('Charges fixes'!$D$7="Trimestriel",MOD(MONTH($B$2)-'Charges fixes'!$K$7+12,3)=0),AND('Charges fixes'!$D$7="Semestriel",MOD(MONTH($B$2)-'Charges fixes'!$K$7+12,6)=0),AND('Charges fixes'!$D$7="Annuel",MONTH($B$2)='Charges fixes'!$K$7)))),N('Charges fixes'!$C$7),0))</f>
        <v/>
      </c>
      <c r="D9" s="28">
        <f>IF(OR('Charges fixes'!$B$7="",'Charges fixes'!$F$7="",N(C9)=0),"",DATE(YEAR($B$2),MONTH($B$2),MIN('Charges fixes'!$F$7,DAY(EOMONTH($B$2,0)))))</f>
        <v/>
      </c>
      <c r="E9" s="27">
        <f>IF('Charges fixes'!$B$7="","",'Charges fixes'!$G$7&amp;"")</f>
        <v/>
      </c>
      <c r="F9" s="18" t="n"/>
      <c r="G9" s="18" t="n"/>
    </row>
    <row r="10">
      <c r="A10" s="27">
        <f>IF('Charges fixes'!$B$8="","",'Charges fixes'!$A$8&amp;"")</f>
        <v/>
      </c>
      <c r="B10" s="27">
        <f>IF('Charges fixes'!$B$8="","",'Charges fixes'!$B$8)</f>
        <v/>
      </c>
      <c r="C10" s="8">
        <f>IF('Charges fixes'!$B$8="","",IF(OR('Charges fixes'!$D$8="Mensuel",'Charges fixes'!$D$8="",AND('Charges fixes'!$K$8&gt;0,OR(AND('Charges fixes'!$D$8="Trimestriel",MOD(MONTH($B$2)-'Charges fixes'!$K$8+12,3)=0),AND('Charges fixes'!$D$8="Semestriel",MOD(MONTH($B$2)-'Charges fixes'!$K$8+12,6)=0),AND('Charges fixes'!$D$8="Annuel",MONTH($B$2)='Charges fixes'!$K$8)))),N('Charges fixes'!$C$8),0))</f>
        <v/>
      </c>
      <c r="D10" s="28">
        <f>IF(OR('Charges fixes'!$B$8="",'Charges fixes'!$F$8="",N(C10)=0),"",DATE(YEAR($B$2),MONTH($B$2),MIN('Charges fixes'!$F$8,DAY(EOMONTH($B$2,0)))))</f>
        <v/>
      </c>
      <c r="E10" s="27">
        <f>IF('Charges fixes'!$B$8="","",'Charges fixes'!$G$8&amp;"")</f>
        <v/>
      </c>
      <c r="F10" s="18" t="n"/>
      <c r="G10" s="18" t="n"/>
    </row>
    <row r="11">
      <c r="A11" s="27">
        <f>IF('Charges fixes'!$B$9="","",'Charges fixes'!$A$9&amp;"")</f>
        <v/>
      </c>
      <c r="B11" s="27">
        <f>IF('Charges fixes'!$B$9="","",'Charges fixes'!$B$9)</f>
        <v/>
      </c>
      <c r="C11" s="8">
        <f>IF('Charges fixes'!$B$9="","",IF(OR('Charges fixes'!$D$9="Mensuel",'Charges fixes'!$D$9="",AND('Charges fixes'!$K$9&gt;0,OR(AND('Charges fixes'!$D$9="Trimestriel",MOD(MONTH($B$2)-'Charges fixes'!$K$9+12,3)=0),AND('Charges fixes'!$D$9="Semestriel",MOD(MONTH($B$2)-'Charges fixes'!$K$9+12,6)=0),AND('Charges fixes'!$D$9="Annuel",MONTH($B$2)='Charges fixes'!$K$9)))),N('Charges fixes'!$C$9),0))</f>
        <v/>
      </c>
      <c r="D11" s="28">
        <f>IF(OR('Charges fixes'!$B$9="",'Charges fixes'!$F$9="",N(C11)=0),"",DATE(YEAR($B$2),MONTH($B$2),MIN('Charges fixes'!$F$9,DAY(EOMONTH($B$2,0)))))</f>
        <v/>
      </c>
      <c r="E11" s="27">
        <f>IF('Charges fixes'!$B$9="","",'Charges fixes'!$G$9&amp;"")</f>
        <v/>
      </c>
      <c r="F11" s="18" t="n"/>
      <c r="G11" s="18" t="n"/>
    </row>
    <row r="12">
      <c r="A12" s="27">
        <f>IF('Charges fixes'!$B$10="","",'Charges fixes'!$A$10&amp;"")</f>
        <v/>
      </c>
      <c r="B12" s="27">
        <f>IF('Charges fixes'!$B$10="","",'Charges fixes'!$B$10)</f>
        <v/>
      </c>
      <c r="C12" s="8">
        <f>IF('Charges fixes'!$B$10="","",IF(OR('Charges fixes'!$D$10="Mensuel",'Charges fixes'!$D$10="",AND('Charges fixes'!$K$10&gt;0,OR(AND('Charges fixes'!$D$10="Trimestriel",MOD(MONTH($B$2)-'Charges fixes'!$K$10+12,3)=0),AND('Charges fixes'!$D$10="Semestriel",MOD(MONTH($B$2)-'Charges fixes'!$K$10+12,6)=0),AND('Charges fixes'!$D$10="Annuel",MONTH($B$2)='Charges fixes'!$K$10)))),N('Charges fixes'!$C$10),0))</f>
        <v/>
      </c>
      <c r="D12" s="28">
        <f>IF(OR('Charges fixes'!$B$10="",'Charges fixes'!$F$10="",N(C12)=0),"",DATE(YEAR($B$2),MONTH($B$2),MIN('Charges fixes'!$F$10,DAY(EOMONTH($B$2,0)))))</f>
        <v/>
      </c>
      <c r="E12" s="27">
        <f>IF('Charges fixes'!$B$10="","",'Charges fixes'!$G$10&amp;"")</f>
        <v/>
      </c>
      <c r="F12" s="18" t="n"/>
      <c r="G12" s="18" t="n"/>
    </row>
    <row r="13">
      <c r="A13" s="27">
        <f>IF('Charges fixes'!$B$11="","",'Charges fixes'!$A$11&amp;"")</f>
        <v/>
      </c>
      <c r="B13" s="27">
        <f>IF('Charges fixes'!$B$11="","",'Charges fixes'!$B$11)</f>
        <v/>
      </c>
      <c r="C13" s="8">
        <f>IF('Charges fixes'!$B$11="","",IF(OR('Charges fixes'!$D$11="Mensuel",'Charges fixes'!$D$11="",AND('Charges fixes'!$K$11&gt;0,OR(AND('Charges fixes'!$D$11="Trimestriel",MOD(MONTH($B$2)-'Charges fixes'!$K$11+12,3)=0),AND('Charges fixes'!$D$11="Semestriel",MOD(MONTH($B$2)-'Charges fixes'!$K$11+12,6)=0),AND('Charges fixes'!$D$11="Annuel",MONTH($B$2)='Charges fixes'!$K$11)))),N('Charges fixes'!$C$11),0))</f>
        <v/>
      </c>
      <c r="D13" s="28">
        <f>IF(OR('Charges fixes'!$B$11="",'Charges fixes'!$F$11="",N(C13)=0),"",DATE(YEAR($B$2),MONTH($B$2),MIN('Charges fixes'!$F$11,DAY(EOMONTH($B$2,0)))))</f>
        <v/>
      </c>
      <c r="E13" s="27">
        <f>IF('Charges fixes'!$B$11="","",'Charges fixes'!$G$11&amp;"")</f>
        <v/>
      </c>
      <c r="F13" s="18" t="n"/>
      <c r="G13" s="18" t="n"/>
    </row>
    <row r="14">
      <c r="A14" s="27">
        <f>IF('Charges fixes'!$B$12="","",'Charges fixes'!$A$12&amp;"")</f>
        <v/>
      </c>
      <c r="B14" s="27">
        <f>IF('Charges fixes'!$B$12="","",'Charges fixes'!$B$12)</f>
        <v/>
      </c>
      <c r="C14" s="8">
        <f>IF('Charges fixes'!$B$12="","",IF(OR('Charges fixes'!$D$12="Mensuel",'Charges fixes'!$D$12="",AND('Charges fixes'!$K$12&gt;0,OR(AND('Charges fixes'!$D$12="Trimestriel",MOD(MONTH($B$2)-'Charges fixes'!$K$12+12,3)=0),AND('Charges fixes'!$D$12="Semestriel",MOD(MONTH($B$2)-'Charges fixes'!$K$12+12,6)=0),AND('Charges fixes'!$D$12="Annuel",MONTH($B$2)='Charges fixes'!$K$12)))),N('Charges fixes'!$C$12),0))</f>
        <v/>
      </c>
      <c r="D14" s="28">
        <f>IF(OR('Charges fixes'!$B$12="",'Charges fixes'!$F$12="",N(C14)=0),"",DATE(YEAR($B$2),MONTH($B$2),MIN('Charges fixes'!$F$12,DAY(EOMONTH($B$2,0)))))</f>
        <v/>
      </c>
      <c r="E14" s="27">
        <f>IF('Charges fixes'!$B$12="","",'Charges fixes'!$G$12&amp;"")</f>
        <v/>
      </c>
      <c r="F14" s="18" t="n"/>
      <c r="G14" s="18" t="n"/>
    </row>
    <row r="15">
      <c r="A15" s="27">
        <f>IF('Charges fixes'!$B$13="","",'Charges fixes'!$A$13&amp;"")</f>
        <v/>
      </c>
      <c r="B15" s="27">
        <f>IF('Charges fixes'!$B$13="","",'Charges fixes'!$B$13)</f>
        <v/>
      </c>
      <c r="C15" s="8">
        <f>IF('Charges fixes'!$B$13="","",IF(OR('Charges fixes'!$D$13="Mensuel",'Charges fixes'!$D$13="",AND('Charges fixes'!$K$13&gt;0,OR(AND('Charges fixes'!$D$13="Trimestriel",MOD(MONTH($B$2)-'Charges fixes'!$K$13+12,3)=0),AND('Charges fixes'!$D$13="Semestriel",MOD(MONTH($B$2)-'Charges fixes'!$K$13+12,6)=0),AND('Charges fixes'!$D$13="Annuel",MONTH($B$2)='Charges fixes'!$K$13)))),N('Charges fixes'!$C$13),0))</f>
        <v/>
      </c>
      <c r="D15" s="28">
        <f>IF(OR('Charges fixes'!$B$13="",'Charges fixes'!$F$13="",N(C15)=0),"",DATE(YEAR($B$2),MONTH($B$2),MIN('Charges fixes'!$F$13,DAY(EOMONTH($B$2,0)))))</f>
        <v/>
      </c>
      <c r="E15" s="27">
        <f>IF('Charges fixes'!$B$13="","",'Charges fixes'!$G$13&amp;"")</f>
        <v/>
      </c>
      <c r="F15" s="18" t="n"/>
      <c r="G15" s="18" t="n"/>
    </row>
    <row r="16">
      <c r="A16" s="27">
        <f>IF('Charges fixes'!$B$14="","",'Charges fixes'!$A$14&amp;"")</f>
        <v/>
      </c>
      <c r="B16" s="27">
        <f>IF('Charges fixes'!$B$14="","",'Charges fixes'!$B$14)</f>
        <v/>
      </c>
      <c r="C16" s="8">
        <f>IF('Charges fixes'!$B$14="","",IF(OR('Charges fixes'!$D$14="Mensuel",'Charges fixes'!$D$14="",AND('Charges fixes'!$K$14&gt;0,OR(AND('Charges fixes'!$D$14="Trimestriel",MOD(MONTH($B$2)-'Charges fixes'!$K$14+12,3)=0),AND('Charges fixes'!$D$14="Semestriel",MOD(MONTH($B$2)-'Charges fixes'!$K$14+12,6)=0),AND('Charges fixes'!$D$14="Annuel",MONTH($B$2)='Charges fixes'!$K$14)))),N('Charges fixes'!$C$14),0))</f>
        <v/>
      </c>
      <c r="D16" s="28">
        <f>IF(OR('Charges fixes'!$B$14="",'Charges fixes'!$F$14="",N(C16)=0),"",DATE(YEAR($B$2),MONTH($B$2),MIN('Charges fixes'!$F$14,DAY(EOMONTH($B$2,0)))))</f>
        <v/>
      </c>
      <c r="E16" s="27">
        <f>IF('Charges fixes'!$B$14="","",'Charges fixes'!$G$14&amp;"")</f>
        <v/>
      </c>
      <c r="F16" s="18" t="n"/>
      <c r="G16" s="18" t="n"/>
    </row>
    <row r="17">
      <c r="A17" s="27">
        <f>IF('Charges fixes'!$B$15="","",'Charges fixes'!$A$15&amp;"")</f>
        <v/>
      </c>
      <c r="B17" s="27">
        <f>IF('Charges fixes'!$B$15="","",'Charges fixes'!$B$15)</f>
        <v/>
      </c>
      <c r="C17" s="8">
        <f>IF('Charges fixes'!$B$15="","",IF(OR('Charges fixes'!$D$15="Mensuel",'Charges fixes'!$D$15="",AND('Charges fixes'!$K$15&gt;0,OR(AND('Charges fixes'!$D$15="Trimestriel",MOD(MONTH($B$2)-'Charges fixes'!$K$15+12,3)=0),AND('Charges fixes'!$D$15="Semestriel",MOD(MONTH($B$2)-'Charges fixes'!$K$15+12,6)=0),AND('Charges fixes'!$D$15="Annuel",MONTH($B$2)='Charges fixes'!$K$15)))),N('Charges fixes'!$C$15),0))</f>
        <v/>
      </c>
      <c r="D17" s="28">
        <f>IF(OR('Charges fixes'!$B$15="",'Charges fixes'!$F$15="",N(C17)=0),"",DATE(YEAR($B$2),MONTH($B$2),MIN('Charges fixes'!$F$15,DAY(EOMONTH($B$2,0)))))</f>
        <v/>
      </c>
      <c r="E17" s="27">
        <f>IF('Charges fixes'!$B$15="","",'Charges fixes'!$G$15&amp;"")</f>
        <v/>
      </c>
      <c r="F17" s="18" t="n"/>
      <c r="G17" s="18" t="n"/>
    </row>
    <row r="18">
      <c r="A18" s="27">
        <f>IF('Charges fixes'!$B$16="","",'Charges fixes'!$A$16&amp;"")</f>
        <v/>
      </c>
      <c r="B18" s="27">
        <f>IF('Charges fixes'!$B$16="","",'Charges fixes'!$B$16)</f>
        <v/>
      </c>
      <c r="C18" s="8">
        <f>IF('Charges fixes'!$B$16="","",IF(OR('Charges fixes'!$D$16="Mensuel",'Charges fixes'!$D$16="",AND('Charges fixes'!$K$16&gt;0,OR(AND('Charges fixes'!$D$16="Trimestriel",MOD(MONTH($B$2)-'Charges fixes'!$K$16+12,3)=0),AND('Charges fixes'!$D$16="Semestriel",MOD(MONTH($B$2)-'Charges fixes'!$K$16+12,6)=0),AND('Charges fixes'!$D$16="Annuel",MONTH($B$2)='Charges fixes'!$K$16)))),N('Charges fixes'!$C$16),0))</f>
        <v/>
      </c>
      <c r="D18" s="28">
        <f>IF(OR('Charges fixes'!$B$16="",'Charges fixes'!$F$16="",N(C18)=0),"",DATE(YEAR($B$2),MONTH($B$2),MIN('Charges fixes'!$F$16,DAY(EOMONTH($B$2,0)))))</f>
        <v/>
      </c>
      <c r="E18" s="27">
        <f>IF('Charges fixes'!$B$16="","",'Charges fixes'!$G$16&amp;"")</f>
        <v/>
      </c>
      <c r="F18" s="18" t="n"/>
      <c r="G18" s="18" t="n"/>
    </row>
    <row r="19">
      <c r="A19" s="27">
        <f>IF('Charges fixes'!$B$17="","",'Charges fixes'!$A$17&amp;"")</f>
        <v/>
      </c>
      <c r="B19" s="27">
        <f>IF('Charges fixes'!$B$17="","",'Charges fixes'!$B$17)</f>
        <v/>
      </c>
      <c r="C19" s="8">
        <f>IF('Charges fixes'!$B$17="","",IF(OR('Charges fixes'!$D$17="Mensuel",'Charges fixes'!$D$17="",AND('Charges fixes'!$K$17&gt;0,OR(AND('Charges fixes'!$D$17="Trimestriel",MOD(MONTH($B$2)-'Charges fixes'!$K$17+12,3)=0),AND('Charges fixes'!$D$17="Semestriel",MOD(MONTH($B$2)-'Charges fixes'!$K$17+12,6)=0),AND('Charges fixes'!$D$17="Annuel",MONTH($B$2)='Charges fixes'!$K$17)))),N('Charges fixes'!$C$17),0))</f>
        <v/>
      </c>
      <c r="D19" s="28">
        <f>IF(OR('Charges fixes'!$B$17="",'Charges fixes'!$F$17="",N(C19)=0),"",DATE(YEAR($B$2),MONTH($B$2),MIN('Charges fixes'!$F$17,DAY(EOMONTH($B$2,0)))))</f>
        <v/>
      </c>
      <c r="E19" s="27">
        <f>IF('Charges fixes'!$B$17="","",'Charges fixes'!$G$17&amp;"")</f>
        <v/>
      </c>
      <c r="F19" s="18" t="n"/>
      <c r="G19" s="18" t="n"/>
    </row>
    <row r="20">
      <c r="A20" s="27">
        <f>IF('Charges fixes'!$B$18="","",'Charges fixes'!$A$18&amp;"")</f>
        <v/>
      </c>
      <c r="B20" s="27">
        <f>IF('Charges fixes'!$B$18="","",'Charges fixes'!$B$18)</f>
        <v/>
      </c>
      <c r="C20" s="8">
        <f>IF('Charges fixes'!$B$18="","",IF(OR('Charges fixes'!$D$18="Mensuel",'Charges fixes'!$D$18="",AND('Charges fixes'!$K$18&gt;0,OR(AND('Charges fixes'!$D$18="Trimestriel",MOD(MONTH($B$2)-'Charges fixes'!$K$18+12,3)=0),AND('Charges fixes'!$D$18="Semestriel",MOD(MONTH($B$2)-'Charges fixes'!$K$18+12,6)=0),AND('Charges fixes'!$D$18="Annuel",MONTH($B$2)='Charges fixes'!$K$18)))),N('Charges fixes'!$C$18),0))</f>
        <v/>
      </c>
      <c r="D20" s="28">
        <f>IF(OR('Charges fixes'!$B$18="",'Charges fixes'!$F$18="",N(C20)=0),"",DATE(YEAR($B$2),MONTH($B$2),MIN('Charges fixes'!$F$18,DAY(EOMONTH($B$2,0)))))</f>
        <v/>
      </c>
      <c r="E20" s="27">
        <f>IF('Charges fixes'!$B$18="","",'Charges fixes'!$G$18&amp;"")</f>
        <v/>
      </c>
      <c r="F20" s="18" t="n"/>
      <c r="G20" s="18" t="n"/>
    </row>
    <row r="21">
      <c r="A21" s="27">
        <f>IF('Charges fixes'!$B$19="","",'Charges fixes'!$A$19&amp;"")</f>
        <v/>
      </c>
      <c r="B21" s="27">
        <f>IF('Charges fixes'!$B$19="","",'Charges fixes'!$B$19)</f>
        <v/>
      </c>
      <c r="C21" s="8">
        <f>IF('Charges fixes'!$B$19="","",IF(OR('Charges fixes'!$D$19="Mensuel",'Charges fixes'!$D$19="",AND('Charges fixes'!$K$19&gt;0,OR(AND('Charges fixes'!$D$19="Trimestriel",MOD(MONTH($B$2)-'Charges fixes'!$K$19+12,3)=0),AND('Charges fixes'!$D$19="Semestriel",MOD(MONTH($B$2)-'Charges fixes'!$K$19+12,6)=0),AND('Charges fixes'!$D$19="Annuel",MONTH($B$2)='Charges fixes'!$K$19)))),N('Charges fixes'!$C$19),0))</f>
        <v/>
      </c>
      <c r="D21" s="28">
        <f>IF(OR('Charges fixes'!$B$19="",'Charges fixes'!$F$19="",N(C21)=0),"",DATE(YEAR($B$2),MONTH($B$2),MIN('Charges fixes'!$F$19,DAY(EOMONTH($B$2,0)))))</f>
        <v/>
      </c>
      <c r="E21" s="27">
        <f>IF('Charges fixes'!$B$19="","",'Charges fixes'!$G$19&amp;"")</f>
        <v/>
      </c>
      <c r="F21" s="18" t="n"/>
      <c r="G21" s="18" t="n"/>
    </row>
    <row r="22">
      <c r="A22" s="27">
        <f>IF('Charges fixes'!$B$20="","",'Charges fixes'!$A$20&amp;"")</f>
        <v/>
      </c>
      <c r="B22" s="27">
        <f>IF('Charges fixes'!$B$20="","",'Charges fixes'!$B$20)</f>
        <v/>
      </c>
      <c r="C22" s="8">
        <f>IF('Charges fixes'!$B$20="","",IF(OR('Charges fixes'!$D$20="Mensuel",'Charges fixes'!$D$20="",AND('Charges fixes'!$K$20&gt;0,OR(AND('Charges fixes'!$D$20="Trimestriel",MOD(MONTH($B$2)-'Charges fixes'!$K$20+12,3)=0),AND('Charges fixes'!$D$20="Semestriel",MOD(MONTH($B$2)-'Charges fixes'!$K$20+12,6)=0),AND('Charges fixes'!$D$20="Annuel",MONTH($B$2)='Charges fixes'!$K$20)))),N('Charges fixes'!$C$20),0))</f>
        <v/>
      </c>
      <c r="D22" s="28">
        <f>IF(OR('Charges fixes'!$B$20="",'Charges fixes'!$F$20="",N(C22)=0),"",DATE(YEAR($B$2),MONTH($B$2),MIN('Charges fixes'!$F$20,DAY(EOMONTH($B$2,0)))))</f>
        <v/>
      </c>
      <c r="E22" s="27">
        <f>IF('Charges fixes'!$B$20="","",'Charges fixes'!$G$20&amp;"")</f>
        <v/>
      </c>
      <c r="F22" s="18" t="n"/>
      <c r="G22" s="18" t="n"/>
    </row>
    <row r="23">
      <c r="A23" s="27">
        <f>IF('Charges fixes'!$B$21="","",'Charges fixes'!$A$21&amp;"")</f>
        <v/>
      </c>
      <c r="B23" s="27">
        <f>IF('Charges fixes'!$B$21="","",'Charges fixes'!$B$21)</f>
        <v/>
      </c>
      <c r="C23" s="8">
        <f>IF('Charges fixes'!$B$21="","",IF(OR('Charges fixes'!$D$21="Mensuel",'Charges fixes'!$D$21="",AND('Charges fixes'!$K$21&gt;0,OR(AND('Charges fixes'!$D$21="Trimestriel",MOD(MONTH($B$2)-'Charges fixes'!$K$21+12,3)=0),AND('Charges fixes'!$D$21="Semestriel",MOD(MONTH($B$2)-'Charges fixes'!$K$21+12,6)=0),AND('Charges fixes'!$D$21="Annuel",MONTH($B$2)='Charges fixes'!$K$21)))),N('Charges fixes'!$C$21),0))</f>
        <v/>
      </c>
      <c r="D23" s="28">
        <f>IF(OR('Charges fixes'!$B$21="",'Charges fixes'!$F$21="",N(C23)=0),"",DATE(YEAR($B$2),MONTH($B$2),MIN('Charges fixes'!$F$21,DAY(EOMONTH($B$2,0)))))</f>
        <v/>
      </c>
      <c r="E23" s="27">
        <f>IF('Charges fixes'!$B$21="","",'Charges fixes'!$G$21&amp;"")</f>
        <v/>
      </c>
      <c r="F23" s="18" t="n"/>
      <c r="G23" s="18" t="n"/>
    </row>
    <row r="24">
      <c r="A24" s="27">
        <f>IF('Charges fixes'!$B$22="","",'Charges fixes'!$A$22&amp;"")</f>
        <v/>
      </c>
      <c r="B24" s="27">
        <f>IF('Charges fixes'!$B$22="","",'Charges fixes'!$B$22)</f>
        <v/>
      </c>
      <c r="C24" s="8">
        <f>IF('Charges fixes'!$B$22="","",IF(OR('Charges fixes'!$D$22="Mensuel",'Charges fixes'!$D$22="",AND('Charges fixes'!$K$22&gt;0,OR(AND('Charges fixes'!$D$22="Trimestriel",MOD(MONTH($B$2)-'Charges fixes'!$K$22+12,3)=0),AND('Charges fixes'!$D$22="Semestriel",MOD(MONTH($B$2)-'Charges fixes'!$K$22+12,6)=0),AND('Charges fixes'!$D$22="Annuel",MONTH($B$2)='Charges fixes'!$K$22)))),N('Charges fixes'!$C$22),0))</f>
        <v/>
      </c>
      <c r="D24" s="28">
        <f>IF(OR('Charges fixes'!$B$22="",'Charges fixes'!$F$22="",N(C24)=0),"",DATE(YEAR($B$2),MONTH($B$2),MIN('Charges fixes'!$F$22,DAY(EOMONTH($B$2,0)))))</f>
        <v/>
      </c>
      <c r="E24" s="27">
        <f>IF('Charges fixes'!$B$22="","",'Charges fixes'!$G$22&amp;"")</f>
        <v/>
      </c>
      <c r="F24" s="18" t="n"/>
      <c r="G24" s="18" t="n"/>
    </row>
    <row r="25">
      <c r="A25" s="27">
        <f>IF('Charges fixes'!$B$23="","",'Charges fixes'!$A$23&amp;"")</f>
        <v/>
      </c>
      <c r="B25" s="27">
        <f>IF('Charges fixes'!$B$23="","",'Charges fixes'!$B$23)</f>
        <v/>
      </c>
      <c r="C25" s="8">
        <f>IF('Charges fixes'!$B$23="","",IF(OR('Charges fixes'!$D$23="Mensuel",'Charges fixes'!$D$23="",AND('Charges fixes'!$K$23&gt;0,OR(AND('Charges fixes'!$D$23="Trimestriel",MOD(MONTH($B$2)-'Charges fixes'!$K$23+12,3)=0),AND('Charges fixes'!$D$23="Semestriel",MOD(MONTH($B$2)-'Charges fixes'!$K$23+12,6)=0),AND('Charges fixes'!$D$23="Annuel",MONTH($B$2)='Charges fixes'!$K$23)))),N('Charges fixes'!$C$23),0))</f>
        <v/>
      </c>
      <c r="D25" s="28">
        <f>IF(OR('Charges fixes'!$B$23="",'Charges fixes'!$F$23="",N(C25)=0),"",DATE(YEAR($B$2),MONTH($B$2),MIN('Charges fixes'!$F$23,DAY(EOMONTH($B$2,0)))))</f>
        <v/>
      </c>
      <c r="E25" s="27">
        <f>IF('Charges fixes'!$B$23="","",'Charges fixes'!$G$23&amp;"")</f>
        <v/>
      </c>
      <c r="F25" s="18" t="n"/>
      <c r="G25" s="18" t="n"/>
    </row>
    <row r="26">
      <c r="A26" s="27">
        <f>IF('Charges fixes'!$B$24="","",'Charges fixes'!$A$24&amp;"")</f>
        <v/>
      </c>
      <c r="B26" s="27">
        <f>IF('Charges fixes'!$B$24="","",'Charges fixes'!$B$24)</f>
        <v/>
      </c>
      <c r="C26" s="8">
        <f>IF('Charges fixes'!$B$24="","",IF(OR('Charges fixes'!$D$24="Mensuel",'Charges fixes'!$D$24="",AND('Charges fixes'!$K$24&gt;0,OR(AND('Charges fixes'!$D$24="Trimestriel",MOD(MONTH($B$2)-'Charges fixes'!$K$24+12,3)=0),AND('Charges fixes'!$D$24="Semestriel",MOD(MONTH($B$2)-'Charges fixes'!$K$24+12,6)=0),AND('Charges fixes'!$D$24="Annuel",MONTH($B$2)='Charges fixes'!$K$24)))),N('Charges fixes'!$C$24),0))</f>
        <v/>
      </c>
      <c r="D26" s="28">
        <f>IF(OR('Charges fixes'!$B$24="",'Charges fixes'!$F$24="",N(C26)=0),"",DATE(YEAR($B$2),MONTH($B$2),MIN('Charges fixes'!$F$24,DAY(EOMONTH($B$2,0)))))</f>
        <v/>
      </c>
      <c r="E26" s="27">
        <f>IF('Charges fixes'!$B$24="","",'Charges fixes'!$G$24&amp;"")</f>
        <v/>
      </c>
      <c r="F26" s="18" t="n"/>
      <c r="G26" s="18" t="n"/>
    </row>
    <row r="27">
      <c r="A27" s="27">
        <f>IF('Charges fixes'!$B$25="","",'Charges fixes'!$A$25&amp;"")</f>
        <v/>
      </c>
      <c r="B27" s="27">
        <f>IF('Charges fixes'!$B$25="","",'Charges fixes'!$B$25)</f>
        <v/>
      </c>
      <c r="C27" s="8">
        <f>IF('Charges fixes'!$B$25="","",IF(OR('Charges fixes'!$D$25="Mensuel",'Charges fixes'!$D$25="",AND('Charges fixes'!$K$25&gt;0,OR(AND('Charges fixes'!$D$25="Trimestriel",MOD(MONTH($B$2)-'Charges fixes'!$K$25+12,3)=0),AND('Charges fixes'!$D$25="Semestriel",MOD(MONTH($B$2)-'Charges fixes'!$K$25+12,6)=0),AND('Charges fixes'!$D$25="Annuel",MONTH($B$2)='Charges fixes'!$K$25)))),N('Charges fixes'!$C$25),0))</f>
        <v/>
      </c>
      <c r="D27" s="28">
        <f>IF(OR('Charges fixes'!$B$25="",'Charges fixes'!$F$25="",N(C27)=0),"",DATE(YEAR($B$2),MONTH($B$2),MIN('Charges fixes'!$F$25,DAY(EOMONTH($B$2,0)))))</f>
        <v/>
      </c>
      <c r="E27" s="27">
        <f>IF('Charges fixes'!$B$25="","",'Charges fixes'!$G$25&amp;"")</f>
        <v/>
      </c>
      <c r="F27" s="18" t="n"/>
      <c r="G27" s="18" t="n"/>
    </row>
    <row r="28">
      <c r="A28" s="27">
        <f>IF('Charges fixes'!$B$26="","",'Charges fixes'!$A$26&amp;"")</f>
        <v/>
      </c>
      <c r="B28" s="27">
        <f>IF('Charges fixes'!$B$26="","",'Charges fixes'!$B$26)</f>
        <v/>
      </c>
      <c r="C28" s="8">
        <f>IF('Charges fixes'!$B$26="","",IF(OR('Charges fixes'!$D$26="Mensuel",'Charges fixes'!$D$26="",AND('Charges fixes'!$K$26&gt;0,OR(AND('Charges fixes'!$D$26="Trimestriel",MOD(MONTH($B$2)-'Charges fixes'!$K$26+12,3)=0),AND('Charges fixes'!$D$26="Semestriel",MOD(MONTH($B$2)-'Charges fixes'!$K$26+12,6)=0),AND('Charges fixes'!$D$26="Annuel",MONTH($B$2)='Charges fixes'!$K$26)))),N('Charges fixes'!$C$26),0))</f>
        <v/>
      </c>
      <c r="D28" s="28">
        <f>IF(OR('Charges fixes'!$B$26="",'Charges fixes'!$F$26="",N(C28)=0),"",DATE(YEAR($B$2),MONTH($B$2),MIN('Charges fixes'!$F$26,DAY(EOMONTH($B$2,0)))))</f>
        <v/>
      </c>
      <c r="E28" s="27">
        <f>IF('Charges fixes'!$B$26="","",'Charges fixes'!$G$26&amp;"")</f>
        <v/>
      </c>
      <c r="F28" s="18" t="n"/>
      <c r="G28" s="18" t="n"/>
    </row>
    <row r="29">
      <c r="A29" s="27">
        <f>IF('Charges fixes'!$B$27="","",'Charges fixes'!$A$27&amp;"")</f>
        <v/>
      </c>
      <c r="B29" s="27">
        <f>IF('Charges fixes'!$B$27="","",'Charges fixes'!$B$27)</f>
        <v/>
      </c>
      <c r="C29" s="8">
        <f>IF('Charges fixes'!$B$27="","",IF(OR('Charges fixes'!$D$27="Mensuel",'Charges fixes'!$D$27="",AND('Charges fixes'!$K$27&gt;0,OR(AND('Charges fixes'!$D$27="Trimestriel",MOD(MONTH($B$2)-'Charges fixes'!$K$27+12,3)=0),AND('Charges fixes'!$D$27="Semestriel",MOD(MONTH($B$2)-'Charges fixes'!$K$27+12,6)=0),AND('Charges fixes'!$D$27="Annuel",MONTH($B$2)='Charges fixes'!$K$27)))),N('Charges fixes'!$C$27),0))</f>
        <v/>
      </c>
      <c r="D29" s="28">
        <f>IF(OR('Charges fixes'!$B$27="",'Charges fixes'!$F$27="",N(C29)=0),"",DATE(YEAR($B$2),MONTH($B$2),MIN('Charges fixes'!$F$27,DAY(EOMONTH($B$2,0)))))</f>
        <v/>
      </c>
      <c r="E29" s="27">
        <f>IF('Charges fixes'!$B$27="","",'Charges fixes'!$G$27&amp;"")</f>
        <v/>
      </c>
      <c r="F29" s="18" t="n"/>
      <c r="G29" s="18" t="n"/>
    </row>
    <row r="30">
      <c r="A30" s="27">
        <f>IF('Charges fixes'!$B$28="","",'Charges fixes'!$A$28&amp;"")</f>
        <v/>
      </c>
      <c r="B30" s="27">
        <f>IF('Charges fixes'!$B$28="","",'Charges fixes'!$B$28)</f>
        <v/>
      </c>
      <c r="C30" s="8">
        <f>IF('Charges fixes'!$B$28="","",IF(OR('Charges fixes'!$D$28="Mensuel",'Charges fixes'!$D$28="",AND('Charges fixes'!$K$28&gt;0,OR(AND('Charges fixes'!$D$28="Trimestriel",MOD(MONTH($B$2)-'Charges fixes'!$K$28+12,3)=0),AND('Charges fixes'!$D$28="Semestriel",MOD(MONTH($B$2)-'Charges fixes'!$K$28+12,6)=0),AND('Charges fixes'!$D$28="Annuel",MONTH($B$2)='Charges fixes'!$K$28)))),N('Charges fixes'!$C$28),0))</f>
        <v/>
      </c>
      <c r="D30" s="28">
        <f>IF(OR('Charges fixes'!$B$28="",'Charges fixes'!$F$28="",N(C30)=0),"",DATE(YEAR($B$2),MONTH($B$2),MIN('Charges fixes'!$F$28,DAY(EOMONTH($B$2,0)))))</f>
        <v/>
      </c>
      <c r="E30" s="27">
        <f>IF('Charges fixes'!$B$28="","",'Charges fixes'!$G$28&amp;"")</f>
        <v/>
      </c>
      <c r="F30" s="18" t="n"/>
      <c r="G30" s="18" t="n"/>
    </row>
    <row r="31">
      <c r="A31" s="27">
        <f>IF('Charges fixes'!$B$29="","",'Charges fixes'!$A$29&amp;"")</f>
        <v/>
      </c>
      <c r="B31" s="27">
        <f>IF('Charges fixes'!$B$29="","",'Charges fixes'!$B$29)</f>
        <v/>
      </c>
      <c r="C31" s="8">
        <f>IF('Charges fixes'!$B$29="","",IF(OR('Charges fixes'!$D$29="Mensuel",'Charges fixes'!$D$29="",AND('Charges fixes'!$K$29&gt;0,OR(AND('Charges fixes'!$D$29="Trimestriel",MOD(MONTH($B$2)-'Charges fixes'!$K$29+12,3)=0),AND('Charges fixes'!$D$29="Semestriel",MOD(MONTH($B$2)-'Charges fixes'!$K$29+12,6)=0),AND('Charges fixes'!$D$29="Annuel",MONTH($B$2)='Charges fixes'!$K$29)))),N('Charges fixes'!$C$29),0))</f>
        <v/>
      </c>
      <c r="D31" s="28">
        <f>IF(OR('Charges fixes'!$B$29="",'Charges fixes'!$F$29="",N(C31)=0),"",DATE(YEAR($B$2),MONTH($B$2),MIN('Charges fixes'!$F$29,DAY(EOMONTH($B$2,0)))))</f>
        <v/>
      </c>
      <c r="E31" s="27">
        <f>IF('Charges fixes'!$B$29="","",'Charges fixes'!$G$29&amp;"")</f>
        <v/>
      </c>
      <c r="F31" s="18" t="n"/>
      <c r="G31" s="18" t="n"/>
    </row>
    <row r="32">
      <c r="A32" s="27">
        <f>IF('Charges fixes'!$B$30="","",'Charges fixes'!$A$30&amp;"")</f>
        <v/>
      </c>
      <c r="B32" s="27">
        <f>IF('Charges fixes'!$B$30="","",'Charges fixes'!$B$30)</f>
        <v/>
      </c>
      <c r="C32" s="8">
        <f>IF('Charges fixes'!$B$30="","",IF(OR('Charges fixes'!$D$30="Mensuel",'Charges fixes'!$D$30="",AND('Charges fixes'!$K$30&gt;0,OR(AND('Charges fixes'!$D$30="Trimestriel",MOD(MONTH($B$2)-'Charges fixes'!$K$30+12,3)=0),AND('Charges fixes'!$D$30="Semestriel",MOD(MONTH($B$2)-'Charges fixes'!$K$30+12,6)=0),AND('Charges fixes'!$D$30="Annuel",MONTH($B$2)='Charges fixes'!$K$30)))),N('Charges fixes'!$C$30),0))</f>
        <v/>
      </c>
      <c r="D32" s="28">
        <f>IF(OR('Charges fixes'!$B$30="",'Charges fixes'!$F$30="",N(C32)=0),"",DATE(YEAR($B$2),MONTH($B$2),MIN('Charges fixes'!$F$30,DAY(EOMONTH($B$2,0)))))</f>
        <v/>
      </c>
      <c r="E32" s="27">
        <f>IF('Charges fixes'!$B$30="","",'Charges fixes'!$G$30&amp;"")</f>
        <v/>
      </c>
      <c r="F32" s="18" t="n"/>
      <c r="G32" s="18" t="n"/>
    </row>
    <row r="33">
      <c r="A33" s="27">
        <f>IF('Charges fixes'!$B$31="","",'Charges fixes'!$A$31&amp;"")</f>
        <v/>
      </c>
      <c r="B33" s="27">
        <f>IF('Charges fixes'!$B$31="","",'Charges fixes'!$B$31)</f>
        <v/>
      </c>
      <c r="C33" s="8">
        <f>IF('Charges fixes'!$B$31="","",IF(OR('Charges fixes'!$D$31="Mensuel",'Charges fixes'!$D$31="",AND('Charges fixes'!$K$31&gt;0,OR(AND('Charges fixes'!$D$31="Trimestriel",MOD(MONTH($B$2)-'Charges fixes'!$K$31+12,3)=0),AND('Charges fixes'!$D$31="Semestriel",MOD(MONTH($B$2)-'Charges fixes'!$K$31+12,6)=0),AND('Charges fixes'!$D$31="Annuel",MONTH($B$2)='Charges fixes'!$K$31)))),N('Charges fixes'!$C$31),0))</f>
        <v/>
      </c>
      <c r="D33" s="28">
        <f>IF(OR('Charges fixes'!$B$31="",'Charges fixes'!$F$31="",N(C33)=0),"",DATE(YEAR($B$2),MONTH($B$2),MIN('Charges fixes'!$F$31,DAY(EOMONTH($B$2,0)))))</f>
        <v/>
      </c>
      <c r="E33" s="27">
        <f>IF('Charges fixes'!$B$31="","",'Charges fixes'!$G$31&amp;"")</f>
        <v/>
      </c>
      <c r="F33" s="18" t="n"/>
      <c r="G33" s="18" t="n"/>
    </row>
    <row r="34">
      <c r="A34" s="27">
        <f>IF('Charges fixes'!$B$32="","",'Charges fixes'!$A$32&amp;"")</f>
        <v/>
      </c>
      <c r="B34" s="27">
        <f>IF('Charges fixes'!$B$32="","",'Charges fixes'!$B$32)</f>
        <v/>
      </c>
      <c r="C34" s="8">
        <f>IF('Charges fixes'!$B$32="","",IF(OR('Charges fixes'!$D$32="Mensuel",'Charges fixes'!$D$32="",AND('Charges fixes'!$K$32&gt;0,OR(AND('Charges fixes'!$D$32="Trimestriel",MOD(MONTH($B$2)-'Charges fixes'!$K$32+12,3)=0),AND('Charges fixes'!$D$32="Semestriel",MOD(MONTH($B$2)-'Charges fixes'!$K$32+12,6)=0),AND('Charges fixes'!$D$32="Annuel",MONTH($B$2)='Charges fixes'!$K$32)))),N('Charges fixes'!$C$32),0))</f>
        <v/>
      </c>
      <c r="D34" s="28">
        <f>IF(OR('Charges fixes'!$B$32="",'Charges fixes'!$F$32="",N(C34)=0),"",DATE(YEAR($B$2),MONTH($B$2),MIN('Charges fixes'!$F$32,DAY(EOMONTH($B$2,0)))))</f>
        <v/>
      </c>
      <c r="E34" s="27">
        <f>IF('Charges fixes'!$B$32="","",'Charges fixes'!$G$32&amp;"")</f>
        <v/>
      </c>
      <c r="F34" s="18" t="n"/>
      <c r="G34" s="18" t="n"/>
    </row>
    <row r="35">
      <c r="A35" s="27">
        <f>IF('Charges fixes'!$B$33="","",'Charges fixes'!$A$33&amp;"")</f>
        <v/>
      </c>
      <c r="B35" s="27">
        <f>IF('Charges fixes'!$B$33="","",'Charges fixes'!$B$33)</f>
        <v/>
      </c>
      <c r="C35" s="8">
        <f>IF('Charges fixes'!$B$33="","",IF(OR('Charges fixes'!$D$33="Mensuel",'Charges fixes'!$D$33="",AND('Charges fixes'!$K$33&gt;0,OR(AND('Charges fixes'!$D$33="Trimestriel",MOD(MONTH($B$2)-'Charges fixes'!$K$33+12,3)=0),AND('Charges fixes'!$D$33="Semestriel",MOD(MONTH($B$2)-'Charges fixes'!$K$33+12,6)=0),AND('Charges fixes'!$D$33="Annuel",MONTH($B$2)='Charges fixes'!$K$33)))),N('Charges fixes'!$C$33),0))</f>
        <v/>
      </c>
      <c r="D35" s="28">
        <f>IF(OR('Charges fixes'!$B$33="",'Charges fixes'!$F$33="",N(C35)=0),"",DATE(YEAR($B$2),MONTH($B$2),MIN('Charges fixes'!$F$33,DAY(EOMONTH($B$2,0)))))</f>
        <v/>
      </c>
      <c r="E35" s="27">
        <f>IF('Charges fixes'!$B$33="","",'Charges fixes'!$G$33&amp;"")</f>
        <v/>
      </c>
      <c r="F35" s="18" t="n"/>
      <c r="G35" s="18" t="n"/>
    </row>
    <row r="36">
      <c r="A36" s="27">
        <f>IF('Charges fixes'!$B$34="","",'Charges fixes'!$A$34&amp;"")</f>
        <v/>
      </c>
      <c r="B36" s="27">
        <f>IF('Charges fixes'!$B$34="","",'Charges fixes'!$B$34)</f>
        <v/>
      </c>
      <c r="C36" s="8">
        <f>IF('Charges fixes'!$B$34="","",IF(OR('Charges fixes'!$D$34="Mensuel",'Charges fixes'!$D$34="",AND('Charges fixes'!$K$34&gt;0,OR(AND('Charges fixes'!$D$34="Trimestriel",MOD(MONTH($B$2)-'Charges fixes'!$K$34+12,3)=0),AND('Charges fixes'!$D$34="Semestriel",MOD(MONTH($B$2)-'Charges fixes'!$K$34+12,6)=0),AND('Charges fixes'!$D$34="Annuel",MONTH($B$2)='Charges fixes'!$K$34)))),N('Charges fixes'!$C$34),0))</f>
        <v/>
      </c>
      <c r="D36" s="28">
        <f>IF(OR('Charges fixes'!$B$34="",'Charges fixes'!$F$34="",N(C36)=0),"",DATE(YEAR($B$2),MONTH($B$2),MIN('Charges fixes'!$F$34,DAY(EOMONTH($B$2,0)))))</f>
        <v/>
      </c>
      <c r="E36" s="27">
        <f>IF('Charges fixes'!$B$34="","",'Charges fixes'!$G$34&amp;"")</f>
        <v/>
      </c>
      <c r="F36" s="18" t="n"/>
      <c r="G36" s="18" t="n"/>
    </row>
    <row r="37">
      <c r="A37" s="27">
        <f>IF('Charges fixes'!$B$35="","",'Charges fixes'!$A$35&amp;"")</f>
        <v/>
      </c>
      <c r="B37" s="27">
        <f>IF('Charges fixes'!$B$35="","",'Charges fixes'!$B$35)</f>
        <v/>
      </c>
      <c r="C37" s="8">
        <f>IF('Charges fixes'!$B$35="","",IF(OR('Charges fixes'!$D$35="Mensuel",'Charges fixes'!$D$35="",AND('Charges fixes'!$K$35&gt;0,OR(AND('Charges fixes'!$D$35="Trimestriel",MOD(MONTH($B$2)-'Charges fixes'!$K$35+12,3)=0),AND('Charges fixes'!$D$35="Semestriel",MOD(MONTH($B$2)-'Charges fixes'!$K$35+12,6)=0),AND('Charges fixes'!$D$35="Annuel",MONTH($B$2)='Charges fixes'!$K$35)))),N('Charges fixes'!$C$35),0))</f>
        <v/>
      </c>
      <c r="D37" s="28">
        <f>IF(OR('Charges fixes'!$B$35="",'Charges fixes'!$F$35="",N(C37)=0),"",DATE(YEAR($B$2),MONTH($B$2),MIN('Charges fixes'!$F$35,DAY(EOMONTH($B$2,0)))))</f>
        <v/>
      </c>
      <c r="E37" s="27">
        <f>IF('Charges fixes'!$B$35="","",'Charges fixes'!$G$35&amp;"")</f>
        <v/>
      </c>
      <c r="F37" s="18" t="n"/>
      <c r="G37" s="18" t="n"/>
    </row>
    <row r="38">
      <c r="A38" s="27">
        <f>IF('Charges fixes'!$B$36="","",'Charges fixes'!$A$36&amp;"")</f>
        <v/>
      </c>
      <c r="B38" s="27">
        <f>IF('Charges fixes'!$B$36="","",'Charges fixes'!$B$36)</f>
        <v/>
      </c>
      <c r="C38" s="8">
        <f>IF('Charges fixes'!$B$36="","",IF(OR('Charges fixes'!$D$36="Mensuel",'Charges fixes'!$D$36="",AND('Charges fixes'!$K$36&gt;0,OR(AND('Charges fixes'!$D$36="Trimestriel",MOD(MONTH($B$2)-'Charges fixes'!$K$36+12,3)=0),AND('Charges fixes'!$D$36="Semestriel",MOD(MONTH($B$2)-'Charges fixes'!$K$36+12,6)=0),AND('Charges fixes'!$D$36="Annuel",MONTH($B$2)='Charges fixes'!$K$36)))),N('Charges fixes'!$C$36),0))</f>
        <v/>
      </c>
      <c r="D38" s="28">
        <f>IF(OR('Charges fixes'!$B$36="",'Charges fixes'!$F$36="",N(C38)=0),"",DATE(YEAR($B$2),MONTH($B$2),MIN('Charges fixes'!$F$36,DAY(EOMONTH($B$2,0)))))</f>
        <v/>
      </c>
      <c r="E38" s="27">
        <f>IF('Charges fixes'!$B$36="","",'Charges fixes'!$G$36&amp;"")</f>
        <v/>
      </c>
      <c r="F38" s="18" t="n"/>
      <c r="G38" s="18" t="n"/>
    </row>
    <row r="39">
      <c r="A39" s="27">
        <f>IF('Charges fixes'!$B$37="","",'Charges fixes'!$A$37&amp;"")</f>
        <v/>
      </c>
      <c r="B39" s="27">
        <f>IF('Charges fixes'!$B$37="","",'Charges fixes'!$B$37)</f>
        <v/>
      </c>
      <c r="C39" s="8">
        <f>IF('Charges fixes'!$B$37="","",IF(OR('Charges fixes'!$D$37="Mensuel",'Charges fixes'!$D$37="",AND('Charges fixes'!$K$37&gt;0,OR(AND('Charges fixes'!$D$37="Trimestriel",MOD(MONTH($B$2)-'Charges fixes'!$K$37+12,3)=0),AND('Charges fixes'!$D$37="Semestriel",MOD(MONTH($B$2)-'Charges fixes'!$K$37+12,6)=0),AND('Charges fixes'!$D$37="Annuel",MONTH($B$2)='Charges fixes'!$K$37)))),N('Charges fixes'!$C$37),0))</f>
        <v/>
      </c>
      <c r="D39" s="28">
        <f>IF(OR('Charges fixes'!$B$37="",'Charges fixes'!$F$37="",N(C39)=0),"",DATE(YEAR($B$2),MONTH($B$2),MIN('Charges fixes'!$F$37,DAY(EOMONTH($B$2,0)))))</f>
        <v/>
      </c>
      <c r="E39" s="27">
        <f>IF('Charges fixes'!$B$37="","",'Charges fixes'!$G$37&amp;"")</f>
        <v/>
      </c>
      <c r="F39" s="18" t="n"/>
      <c r="G39" s="18" t="n"/>
    </row>
    <row r="40">
      <c r="A40" s="27">
        <f>IF('Charges fixes'!$B$38="","",'Charges fixes'!$A$38&amp;"")</f>
        <v/>
      </c>
      <c r="B40" s="27">
        <f>IF('Charges fixes'!$B$38="","",'Charges fixes'!$B$38)</f>
        <v/>
      </c>
      <c r="C40" s="8">
        <f>IF('Charges fixes'!$B$38="","",IF(OR('Charges fixes'!$D$38="Mensuel",'Charges fixes'!$D$38="",AND('Charges fixes'!$K$38&gt;0,OR(AND('Charges fixes'!$D$38="Trimestriel",MOD(MONTH($B$2)-'Charges fixes'!$K$38+12,3)=0),AND('Charges fixes'!$D$38="Semestriel",MOD(MONTH($B$2)-'Charges fixes'!$K$38+12,6)=0),AND('Charges fixes'!$D$38="Annuel",MONTH($B$2)='Charges fixes'!$K$38)))),N('Charges fixes'!$C$38),0))</f>
        <v/>
      </c>
      <c r="D40" s="28">
        <f>IF(OR('Charges fixes'!$B$38="",'Charges fixes'!$F$38="",N(C40)=0),"",DATE(YEAR($B$2),MONTH($B$2),MIN('Charges fixes'!$F$38,DAY(EOMONTH($B$2,0)))))</f>
        <v/>
      </c>
      <c r="E40" s="27">
        <f>IF('Charges fixes'!$B$38="","",'Charges fixes'!$G$38&amp;"")</f>
        <v/>
      </c>
      <c r="F40" s="18" t="n"/>
      <c r="G40" s="18" t="n"/>
    </row>
    <row r="41">
      <c r="A41" s="27">
        <f>IF('Charges fixes'!$B$39="","",'Charges fixes'!$A$39&amp;"")</f>
        <v/>
      </c>
      <c r="B41" s="27">
        <f>IF('Charges fixes'!$B$39="","",'Charges fixes'!$B$39)</f>
        <v/>
      </c>
      <c r="C41" s="8">
        <f>IF('Charges fixes'!$B$39="","",IF(OR('Charges fixes'!$D$39="Mensuel",'Charges fixes'!$D$39="",AND('Charges fixes'!$K$39&gt;0,OR(AND('Charges fixes'!$D$39="Trimestriel",MOD(MONTH($B$2)-'Charges fixes'!$K$39+12,3)=0),AND('Charges fixes'!$D$39="Semestriel",MOD(MONTH($B$2)-'Charges fixes'!$K$39+12,6)=0),AND('Charges fixes'!$D$39="Annuel",MONTH($B$2)='Charges fixes'!$K$39)))),N('Charges fixes'!$C$39),0))</f>
        <v/>
      </c>
      <c r="D41" s="28">
        <f>IF(OR('Charges fixes'!$B$39="",'Charges fixes'!$F$39="",N(C41)=0),"",DATE(YEAR($B$2),MONTH($B$2),MIN('Charges fixes'!$F$39,DAY(EOMONTH($B$2,0)))))</f>
        <v/>
      </c>
      <c r="E41" s="27">
        <f>IF('Charges fixes'!$B$39="","",'Charges fixes'!$G$39&amp;"")</f>
        <v/>
      </c>
      <c r="F41" s="18" t="n"/>
      <c r="G41" s="18" t="n"/>
    </row>
    <row r="42">
      <c r="A42" s="27">
        <f>IF('Charges fixes'!$B$40="","",'Charges fixes'!$A$40&amp;"")</f>
        <v/>
      </c>
      <c r="B42" s="27">
        <f>IF('Charges fixes'!$B$40="","",'Charges fixes'!$B$40)</f>
        <v/>
      </c>
      <c r="C42" s="8">
        <f>IF('Charges fixes'!$B$40="","",IF(OR('Charges fixes'!$D$40="Mensuel",'Charges fixes'!$D$40="",AND('Charges fixes'!$K$40&gt;0,OR(AND('Charges fixes'!$D$40="Trimestriel",MOD(MONTH($B$2)-'Charges fixes'!$K$40+12,3)=0),AND('Charges fixes'!$D$40="Semestriel",MOD(MONTH($B$2)-'Charges fixes'!$K$40+12,6)=0),AND('Charges fixes'!$D$40="Annuel",MONTH($B$2)='Charges fixes'!$K$40)))),N('Charges fixes'!$C$40),0))</f>
        <v/>
      </c>
      <c r="D42" s="28">
        <f>IF(OR('Charges fixes'!$B$40="",'Charges fixes'!$F$40="",N(C42)=0),"",DATE(YEAR($B$2),MONTH($B$2),MIN('Charges fixes'!$F$40,DAY(EOMONTH($B$2,0)))))</f>
        <v/>
      </c>
      <c r="E42" s="27">
        <f>IF('Charges fixes'!$B$40="","",'Charges fixes'!$G$40&amp;"")</f>
        <v/>
      </c>
      <c r="F42" s="18" t="n"/>
      <c r="G42" s="18" t="n"/>
    </row>
    <row r="43">
      <c r="A43" s="27">
        <f>IF('Charges fixes'!$B$41="","",'Charges fixes'!$A$41&amp;"")</f>
        <v/>
      </c>
      <c r="B43" s="27">
        <f>IF('Charges fixes'!$B$41="","",'Charges fixes'!$B$41)</f>
        <v/>
      </c>
      <c r="C43" s="8">
        <f>IF('Charges fixes'!$B$41="","",IF(OR('Charges fixes'!$D$41="Mensuel",'Charges fixes'!$D$41="",AND('Charges fixes'!$K$41&gt;0,OR(AND('Charges fixes'!$D$41="Trimestriel",MOD(MONTH($B$2)-'Charges fixes'!$K$41+12,3)=0),AND('Charges fixes'!$D$41="Semestriel",MOD(MONTH($B$2)-'Charges fixes'!$K$41+12,6)=0),AND('Charges fixes'!$D$41="Annuel",MONTH($B$2)='Charges fixes'!$K$41)))),N('Charges fixes'!$C$41),0))</f>
        <v/>
      </c>
      <c r="D43" s="28">
        <f>IF(OR('Charges fixes'!$B$41="",'Charges fixes'!$F$41="",N(C43)=0),"",DATE(YEAR($B$2),MONTH($B$2),MIN('Charges fixes'!$F$41,DAY(EOMONTH($B$2,0)))))</f>
        <v/>
      </c>
      <c r="E43" s="27">
        <f>IF('Charges fixes'!$B$41="","",'Charges fixes'!$G$41&amp;"")</f>
        <v/>
      </c>
      <c r="F43" s="18" t="n"/>
      <c r="G43" s="18" t="n"/>
    </row>
    <row r="44">
      <c r="A44" s="27">
        <f>IF('Charges fixes'!$B$42="","",'Charges fixes'!$A$42&amp;"")</f>
        <v/>
      </c>
      <c r="B44" s="27">
        <f>IF('Charges fixes'!$B$42="","",'Charges fixes'!$B$42)</f>
        <v/>
      </c>
      <c r="C44" s="8">
        <f>IF('Charges fixes'!$B$42="","",IF(OR('Charges fixes'!$D$42="Mensuel",'Charges fixes'!$D$42="",AND('Charges fixes'!$K$42&gt;0,OR(AND('Charges fixes'!$D$42="Trimestriel",MOD(MONTH($B$2)-'Charges fixes'!$K$42+12,3)=0),AND('Charges fixes'!$D$42="Semestriel",MOD(MONTH($B$2)-'Charges fixes'!$K$42+12,6)=0),AND('Charges fixes'!$D$42="Annuel",MONTH($B$2)='Charges fixes'!$K$42)))),N('Charges fixes'!$C$42),0))</f>
        <v/>
      </c>
      <c r="D44" s="28">
        <f>IF(OR('Charges fixes'!$B$42="",'Charges fixes'!$F$42="",N(C44)=0),"",DATE(YEAR($B$2),MONTH($B$2),MIN('Charges fixes'!$F$42,DAY(EOMONTH($B$2,0)))))</f>
        <v/>
      </c>
      <c r="E44" s="27">
        <f>IF('Charges fixes'!$B$42="","",'Charges fixes'!$G$42&amp;"")</f>
        <v/>
      </c>
      <c r="F44" s="18" t="n"/>
      <c r="G44" s="18" t="n"/>
    </row>
    <row r="45">
      <c r="A45" s="27">
        <f>IF('Charges fixes'!$B$43="","",'Charges fixes'!$A$43&amp;"")</f>
        <v/>
      </c>
      <c r="B45" s="27">
        <f>IF('Charges fixes'!$B$43="","",'Charges fixes'!$B$43)</f>
        <v/>
      </c>
      <c r="C45" s="8">
        <f>IF('Charges fixes'!$B$43="","",IF(OR('Charges fixes'!$D$43="Mensuel",'Charges fixes'!$D$43="",AND('Charges fixes'!$K$43&gt;0,OR(AND('Charges fixes'!$D$43="Trimestriel",MOD(MONTH($B$2)-'Charges fixes'!$K$43+12,3)=0),AND('Charges fixes'!$D$43="Semestriel",MOD(MONTH($B$2)-'Charges fixes'!$K$43+12,6)=0),AND('Charges fixes'!$D$43="Annuel",MONTH($B$2)='Charges fixes'!$K$43)))),N('Charges fixes'!$C$43),0))</f>
        <v/>
      </c>
      <c r="D45" s="28">
        <f>IF(OR('Charges fixes'!$B$43="",'Charges fixes'!$F$43="",N(C45)=0),"",DATE(YEAR($B$2),MONTH($B$2),MIN('Charges fixes'!$F$43,DAY(EOMONTH($B$2,0)))))</f>
        <v/>
      </c>
      <c r="E45" s="27">
        <f>IF('Charges fixes'!$B$43="","",'Charges fixes'!$G$43&amp;"")</f>
        <v/>
      </c>
      <c r="F45" s="18" t="n"/>
      <c r="G45" s="18" t="n"/>
    </row>
    <row r="46">
      <c r="A46" s="27">
        <f>IF('Charges fixes'!$B$44="","",'Charges fixes'!$A$44&amp;"")</f>
        <v/>
      </c>
      <c r="B46" s="27">
        <f>IF('Charges fixes'!$B$44="","",'Charges fixes'!$B$44)</f>
        <v/>
      </c>
      <c r="C46" s="8">
        <f>IF('Charges fixes'!$B$44="","",IF(OR('Charges fixes'!$D$44="Mensuel",'Charges fixes'!$D$44="",AND('Charges fixes'!$K$44&gt;0,OR(AND('Charges fixes'!$D$44="Trimestriel",MOD(MONTH($B$2)-'Charges fixes'!$K$44+12,3)=0),AND('Charges fixes'!$D$44="Semestriel",MOD(MONTH($B$2)-'Charges fixes'!$K$44+12,6)=0),AND('Charges fixes'!$D$44="Annuel",MONTH($B$2)='Charges fixes'!$K$44)))),N('Charges fixes'!$C$44),0))</f>
        <v/>
      </c>
      <c r="D46" s="28">
        <f>IF(OR('Charges fixes'!$B$44="",'Charges fixes'!$F$44="",N(C46)=0),"",DATE(YEAR($B$2),MONTH($B$2),MIN('Charges fixes'!$F$44,DAY(EOMONTH($B$2,0)))))</f>
        <v/>
      </c>
      <c r="E46" s="27">
        <f>IF('Charges fixes'!$B$44="","",'Charges fixes'!$G$44&amp;"")</f>
        <v/>
      </c>
      <c r="F46" s="18" t="n"/>
      <c r="G46" s="18" t="n"/>
    </row>
    <row r="47">
      <c r="A47" s="27">
        <f>IF('Charges fixes'!$B$45="","",'Charges fixes'!$A$45&amp;"")</f>
        <v/>
      </c>
      <c r="B47" s="27">
        <f>IF('Charges fixes'!$B$45="","",'Charges fixes'!$B$45)</f>
        <v/>
      </c>
      <c r="C47" s="8">
        <f>IF('Charges fixes'!$B$45="","",IF(OR('Charges fixes'!$D$45="Mensuel",'Charges fixes'!$D$45="",AND('Charges fixes'!$K$45&gt;0,OR(AND('Charges fixes'!$D$45="Trimestriel",MOD(MONTH($B$2)-'Charges fixes'!$K$45+12,3)=0),AND('Charges fixes'!$D$45="Semestriel",MOD(MONTH($B$2)-'Charges fixes'!$K$45+12,6)=0),AND('Charges fixes'!$D$45="Annuel",MONTH($B$2)='Charges fixes'!$K$45)))),N('Charges fixes'!$C$45),0))</f>
        <v/>
      </c>
      <c r="D47" s="28">
        <f>IF(OR('Charges fixes'!$B$45="",'Charges fixes'!$F$45="",N(C47)=0),"",DATE(YEAR($B$2),MONTH($B$2),MIN('Charges fixes'!$F$45,DAY(EOMONTH($B$2,0)))))</f>
        <v/>
      </c>
      <c r="E47" s="27">
        <f>IF('Charges fixes'!$B$45="","",'Charges fixes'!$G$45&amp;"")</f>
        <v/>
      </c>
      <c r="F47" s="18" t="n"/>
      <c r="G47" s="18" t="n"/>
    </row>
    <row r="48">
      <c r="A48" s="27">
        <f>IF('Charges fixes'!$B$46="","",'Charges fixes'!$A$46&amp;"")</f>
        <v/>
      </c>
      <c r="B48" s="27">
        <f>IF('Charges fixes'!$B$46="","",'Charges fixes'!$B$46)</f>
        <v/>
      </c>
      <c r="C48" s="8">
        <f>IF('Charges fixes'!$B$46="","",IF(OR('Charges fixes'!$D$46="Mensuel",'Charges fixes'!$D$46="",AND('Charges fixes'!$K$46&gt;0,OR(AND('Charges fixes'!$D$46="Trimestriel",MOD(MONTH($B$2)-'Charges fixes'!$K$46+12,3)=0),AND('Charges fixes'!$D$46="Semestriel",MOD(MONTH($B$2)-'Charges fixes'!$K$46+12,6)=0),AND('Charges fixes'!$D$46="Annuel",MONTH($B$2)='Charges fixes'!$K$46)))),N('Charges fixes'!$C$46),0))</f>
        <v/>
      </c>
      <c r="D48" s="28">
        <f>IF(OR('Charges fixes'!$B$46="",'Charges fixes'!$F$46="",N(C48)=0),"",DATE(YEAR($B$2),MONTH($B$2),MIN('Charges fixes'!$F$46,DAY(EOMONTH($B$2,0)))))</f>
        <v/>
      </c>
      <c r="E48" s="27">
        <f>IF('Charges fixes'!$B$46="","",'Charges fixes'!$G$46&amp;"")</f>
        <v/>
      </c>
      <c r="F48" s="18" t="n"/>
      <c r="G48" s="18" t="n"/>
    </row>
    <row r="49">
      <c r="A49" s="27">
        <f>IF('Charges fixes'!$B$47="","",'Charges fixes'!$A$47&amp;"")</f>
        <v/>
      </c>
      <c r="B49" s="27">
        <f>IF('Charges fixes'!$B$47="","",'Charges fixes'!$B$47)</f>
        <v/>
      </c>
      <c r="C49" s="8">
        <f>IF('Charges fixes'!$B$47="","",IF(OR('Charges fixes'!$D$47="Mensuel",'Charges fixes'!$D$47="",AND('Charges fixes'!$K$47&gt;0,OR(AND('Charges fixes'!$D$47="Trimestriel",MOD(MONTH($B$2)-'Charges fixes'!$K$47+12,3)=0),AND('Charges fixes'!$D$47="Semestriel",MOD(MONTH($B$2)-'Charges fixes'!$K$47+12,6)=0),AND('Charges fixes'!$D$47="Annuel",MONTH($B$2)='Charges fixes'!$K$47)))),N('Charges fixes'!$C$47),0))</f>
        <v/>
      </c>
      <c r="D49" s="28">
        <f>IF(OR('Charges fixes'!$B$47="",'Charges fixes'!$F$47="",N(C49)=0),"",DATE(YEAR($B$2),MONTH($B$2),MIN('Charges fixes'!$F$47,DAY(EOMONTH($B$2,0)))))</f>
        <v/>
      </c>
      <c r="E49" s="27">
        <f>IF('Charges fixes'!$B$47="","",'Charges fixes'!$G$47&amp;"")</f>
        <v/>
      </c>
      <c r="F49" s="18" t="n"/>
      <c r="G49" s="18" t="n"/>
    </row>
    <row r="50">
      <c r="A50" s="27">
        <f>IF('Charges fixes'!$B$48="","",'Charges fixes'!$A$48&amp;"")</f>
        <v/>
      </c>
      <c r="B50" s="27">
        <f>IF('Charges fixes'!$B$48="","",'Charges fixes'!$B$48)</f>
        <v/>
      </c>
      <c r="C50" s="8">
        <f>IF('Charges fixes'!$B$48="","",IF(OR('Charges fixes'!$D$48="Mensuel",'Charges fixes'!$D$48="",AND('Charges fixes'!$K$48&gt;0,OR(AND('Charges fixes'!$D$48="Trimestriel",MOD(MONTH($B$2)-'Charges fixes'!$K$48+12,3)=0),AND('Charges fixes'!$D$48="Semestriel",MOD(MONTH($B$2)-'Charges fixes'!$K$48+12,6)=0),AND('Charges fixes'!$D$48="Annuel",MONTH($B$2)='Charges fixes'!$K$48)))),N('Charges fixes'!$C$48),0))</f>
        <v/>
      </c>
      <c r="D50" s="28">
        <f>IF(OR('Charges fixes'!$B$48="",'Charges fixes'!$F$48="",N(C50)=0),"",DATE(YEAR($B$2),MONTH($B$2),MIN('Charges fixes'!$F$48,DAY(EOMONTH($B$2,0)))))</f>
        <v/>
      </c>
      <c r="E50" s="27">
        <f>IF('Charges fixes'!$B$48="","",'Charges fixes'!$G$48&amp;"")</f>
        <v/>
      </c>
      <c r="F50" s="18" t="n"/>
      <c r="G50" s="18" t="n"/>
    </row>
    <row r="51">
      <c r="A51" s="27">
        <f>IF('Charges fixes'!$B$49="","",'Charges fixes'!$A$49&amp;"")</f>
        <v/>
      </c>
      <c r="B51" s="27">
        <f>IF('Charges fixes'!$B$49="","",'Charges fixes'!$B$49)</f>
        <v/>
      </c>
      <c r="C51" s="8">
        <f>IF('Charges fixes'!$B$49="","",IF(OR('Charges fixes'!$D$49="Mensuel",'Charges fixes'!$D$49="",AND('Charges fixes'!$K$49&gt;0,OR(AND('Charges fixes'!$D$49="Trimestriel",MOD(MONTH($B$2)-'Charges fixes'!$K$49+12,3)=0),AND('Charges fixes'!$D$49="Semestriel",MOD(MONTH($B$2)-'Charges fixes'!$K$49+12,6)=0),AND('Charges fixes'!$D$49="Annuel",MONTH($B$2)='Charges fixes'!$K$49)))),N('Charges fixes'!$C$49),0))</f>
        <v/>
      </c>
      <c r="D51" s="28">
        <f>IF(OR('Charges fixes'!$B$49="",'Charges fixes'!$F$49="",N(C51)=0),"",DATE(YEAR($B$2),MONTH($B$2),MIN('Charges fixes'!$F$49,DAY(EOMONTH($B$2,0)))))</f>
        <v/>
      </c>
      <c r="E51" s="27">
        <f>IF('Charges fixes'!$B$49="","",'Charges fixes'!$G$49&amp;"")</f>
        <v/>
      </c>
      <c r="F51" s="18" t="n"/>
      <c r="G51" s="18" t="n"/>
    </row>
    <row r="52">
      <c r="A52" s="27">
        <f>IF('Charges fixes'!$B$50="","",'Charges fixes'!$A$50&amp;"")</f>
        <v/>
      </c>
      <c r="B52" s="27">
        <f>IF('Charges fixes'!$B$50="","",'Charges fixes'!$B$50)</f>
        <v/>
      </c>
      <c r="C52" s="8">
        <f>IF('Charges fixes'!$B$50="","",IF(OR('Charges fixes'!$D$50="Mensuel",'Charges fixes'!$D$50="",AND('Charges fixes'!$K$50&gt;0,OR(AND('Charges fixes'!$D$50="Trimestriel",MOD(MONTH($B$2)-'Charges fixes'!$K$50+12,3)=0),AND('Charges fixes'!$D$50="Semestriel",MOD(MONTH($B$2)-'Charges fixes'!$K$50+12,6)=0),AND('Charges fixes'!$D$50="Annuel",MONTH($B$2)='Charges fixes'!$K$50)))),N('Charges fixes'!$C$50),0))</f>
        <v/>
      </c>
      <c r="D52" s="28">
        <f>IF(OR('Charges fixes'!$B$50="",'Charges fixes'!$F$50="",N(C52)=0),"",DATE(YEAR($B$2),MONTH($B$2),MIN('Charges fixes'!$F$50,DAY(EOMONTH($B$2,0)))))</f>
        <v/>
      </c>
      <c r="E52" s="27">
        <f>IF('Charges fixes'!$B$50="","",'Charges fixes'!$G$50&amp;"")</f>
        <v/>
      </c>
      <c r="F52" s="18" t="n"/>
      <c r="G52" s="18" t="n"/>
    </row>
    <row r="53">
      <c r="A53" s="27">
        <f>IF('Charges fixes'!$B$51="","",'Charges fixes'!$A$51&amp;"")</f>
        <v/>
      </c>
      <c r="B53" s="27">
        <f>IF('Charges fixes'!$B$51="","",'Charges fixes'!$B$51)</f>
        <v/>
      </c>
      <c r="C53" s="8">
        <f>IF('Charges fixes'!$B$51="","",IF(OR('Charges fixes'!$D$51="Mensuel",'Charges fixes'!$D$51="",AND('Charges fixes'!$K$51&gt;0,OR(AND('Charges fixes'!$D$51="Trimestriel",MOD(MONTH($B$2)-'Charges fixes'!$K$51+12,3)=0),AND('Charges fixes'!$D$51="Semestriel",MOD(MONTH($B$2)-'Charges fixes'!$K$51+12,6)=0),AND('Charges fixes'!$D$51="Annuel",MONTH($B$2)='Charges fixes'!$K$51)))),N('Charges fixes'!$C$51),0))</f>
        <v/>
      </c>
      <c r="D53" s="28">
        <f>IF(OR('Charges fixes'!$B$51="",'Charges fixes'!$F$51="",N(C53)=0),"",DATE(YEAR($B$2),MONTH($B$2),MIN('Charges fixes'!$F$51,DAY(EOMONTH($B$2,0)))))</f>
        <v/>
      </c>
      <c r="E53" s="27">
        <f>IF('Charges fixes'!$B$51="","",'Charges fixes'!$G$51&amp;"")</f>
        <v/>
      </c>
      <c r="F53" s="18" t="n"/>
      <c r="G53" s="18" t="n"/>
    </row>
    <row r="54">
      <c r="A54" s="27">
        <f>IF('Charges fixes'!$B$52="","",'Charges fixes'!$A$52&amp;"")</f>
        <v/>
      </c>
      <c r="B54" s="27">
        <f>IF('Charges fixes'!$B$52="","",'Charges fixes'!$B$52)</f>
        <v/>
      </c>
      <c r="C54" s="8">
        <f>IF('Charges fixes'!$B$52="","",IF(OR('Charges fixes'!$D$52="Mensuel",'Charges fixes'!$D$52="",AND('Charges fixes'!$K$52&gt;0,OR(AND('Charges fixes'!$D$52="Trimestriel",MOD(MONTH($B$2)-'Charges fixes'!$K$52+12,3)=0),AND('Charges fixes'!$D$52="Semestriel",MOD(MONTH($B$2)-'Charges fixes'!$K$52+12,6)=0),AND('Charges fixes'!$D$52="Annuel",MONTH($B$2)='Charges fixes'!$K$52)))),N('Charges fixes'!$C$52),0))</f>
        <v/>
      </c>
      <c r="D54" s="28">
        <f>IF(OR('Charges fixes'!$B$52="",'Charges fixes'!$F$52="",N(C54)=0),"",DATE(YEAR($B$2),MONTH($B$2),MIN('Charges fixes'!$F$52,DAY(EOMONTH($B$2,0)))))</f>
        <v/>
      </c>
      <c r="E54" s="27">
        <f>IF('Charges fixes'!$B$52="","",'Charges fixes'!$G$52&amp;"")</f>
        <v/>
      </c>
      <c r="F54" s="18" t="n"/>
      <c r="G54" s="18" t="n"/>
    </row>
    <row r="55">
      <c r="A55" s="27">
        <f>IF('Charges fixes'!$B$53="","",'Charges fixes'!$A$53&amp;"")</f>
        <v/>
      </c>
      <c r="B55" s="27">
        <f>IF('Charges fixes'!$B$53="","",'Charges fixes'!$B$53)</f>
        <v/>
      </c>
      <c r="C55" s="8">
        <f>IF('Charges fixes'!$B$53="","",IF(OR('Charges fixes'!$D$53="Mensuel",'Charges fixes'!$D$53="",AND('Charges fixes'!$K$53&gt;0,OR(AND('Charges fixes'!$D$53="Trimestriel",MOD(MONTH($B$2)-'Charges fixes'!$K$53+12,3)=0),AND('Charges fixes'!$D$53="Semestriel",MOD(MONTH($B$2)-'Charges fixes'!$K$53+12,6)=0),AND('Charges fixes'!$D$53="Annuel",MONTH($B$2)='Charges fixes'!$K$53)))),N('Charges fixes'!$C$53),0))</f>
        <v/>
      </c>
      <c r="D55" s="28">
        <f>IF(OR('Charges fixes'!$B$53="",'Charges fixes'!$F$53="",N(C55)=0),"",DATE(YEAR($B$2),MONTH($B$2),MIN('Charges fixes'!$F$53,DAY(EOMONTH($B$2,0)))))</f>
        <v/>
      </c>
      <c r="E55" s="27">
        <f>IF('Charges fixes'!$B$53="","",'Charges fixes'!$G$53&amp;"")</f>
        <v/>
      </c>
      <c r="F55" s="18" t="n"/>
      <c r="G55" s="18" t="n"/>
    </row>
    <row r="56">
      <c r="A56" s="27">
        <f>IF('Charges fixes'!$B$54="","",'Charges fixes'!$A$54&amp;"")</f>
        <v/>
      </c>
      <c r="B56" s="27">
        <f>IF('Charges fixes'!$B$54="","",'Charges fixes'!$B$54)</f>
        <v/>
      </c>
      <c r="C56" s="8">
        <f>IF('Charges fixes'!$B$54="","",IF(OR('Charges fixes'!$D$54="Mensuel",'Charges fixes'!$D$54="",AND('Charges fixes'!$K$54&gt;0,OR(AND('Charges fixes'!$D$54="Trimestriel",MOD(MONTH($B$2)-'Charges fixes'!$K$54+12,3)=0),AND('Charges fixes'!$D$54="Semestriel",MOD(MONTH($B$2)-'Charges fixes'!$K$54+12,6)=0),AND('Charges fixes'!$D$54="Annuel",MONTH($B$2)='Charges fixes'!$K$54)))),N('Charges fixes'!$C$54),0))</f>
        <v/>
      </c>
      <c r="D56" s="28">
        <f>IF(OR('Charges fixes'!$B$54="",'Charges fixes'!$F$54="",N(C56)=0),"",DATE(YEAR($B$2),MONTH($B$2),MIN('Charges fixes'!$F$54,DAY(EOMONTH($B$2,0)))))</f>
        <v/>
      </c>
      <c r="E56" s="27">
        <f>IF('Charges fixes'!$B$54="","",'Charges fixes'!$G$54&amp;"")</f>
        <v/>
      </c>
      <c r="F56" s="18" t="n"/>
      <c r="G56" s="18" t="n"/>
    </row>
    <row r="57">
      <c r="A57" s="27">
        <f>IF('Charges fixes'!$B$55="","",'Charges fixes'!$A$55&amp;"")</f>
        <v/>
      </c>
      <c r="B57" s="27">
        <f>IF('Charges fixes'!$B$55="","",'Charges fixes'!$B$55)</f>
        <v/>
      </c>
      <c r="C57" s="8">
        <f>IF('Charges fixes'!$B$55="","",IF(OR('Charges fixes'!$D$55="Mensuel",'Charges fixes'!$D$55="",AND('Charges fixes'!$K$55&gt;0,OR(AND('Charges fixes'!$D$55="Trimestriel",MOD(MONTH($B$2)-'Charges fixes'!$K$55+12,3)=0),AND('Charges fixes'!$D$55="Semestriel",MOD(MONTH($B$2)-'Charges fixes'!$K$55+12,6)=0),AND('Charges fixes'!$D$55="Annuel",MONTH($B$2)='Charges fixes'!$K$55)))),N('Charges fixes'!$C$55),0))</f>
        <v/>
      </c>
      <c r="D57" s="28">
        <f>IF(OR('Charges fixes'!$B$55="",'Charges fixes'!$F$55="",N(C57)=0),"",DATE(YEAR($B$2),MONTH($B$2),MIN('Charges fixes'!$F$55,DAY(EOMONTH($B$2,0)))))</f>
        <v/>
      </c>
      <c r="E57" s="27">
        <f>IF('Charges fixes'!$B$55="","",'Charges fixes'!$G$55&amp;"")</f>
        <v/>
      </c>
      <c r="F57" s="18" t="n"/>
      <c r="G57" s="18" t="n"/>
    </row>
    <row r="58">
      <c r="A58" s="29" t="inlineStr">
        <is>
          <t>DÉPENSES PONCTUELLES DU MOIS (hôpital, réparations, achats exceptionnels…) — à saisir ici</t>
        </is>
      </c>
      <c r="B58" s="30" t="n"/>
      <c r="C58" s="30" t="n"/>
      <c r="D58" s="30" t="n"/>
      <c r="E58" s="30" t="n"/>
      <c r="F58" s="30" t="n"/>
      <c r="G58" s="30" t="n"/>
    </row>
    <row r="59">
      <c r="A59" s="18" t="n"/>
      <c r="B59" s="18" t="n"/>
      <c r="C59" s="22" t="n"/>
      <c r="D59" s="31" t="n"/>
      <c r="E59" s="18" t="n"/>
      <c r="F59" s="18" t="n"/>
      <c r="G59" s="18" t="n"/>
    </row>
    <row r="60">
      <c r="A60" s="18" t="n"/>
      <c r="B60" s="18" t="n"/>
      <c r="C60" s="22" t="n"/>
      <c r="D60" s="31" t="n"/>
      <c r="E60" s="18" t="n"/>
      <c r="F60" s="18" t="n"/>
      <c r="G60" s="18" t="n"/>
    </row>
    <row r="61">
      <c r="A61" s="18" t="n"/>
      <c r="B61" s="18" t="n"/>
      <c r="C61" s="22" t="n"/>
      <c r="D61" s="31" t="n"/>
      <c r="E61" s="18" t="n"/>
      <c r="F61" s="18" t="n"/>
      <c r="G61" s="18" t="n"/>
    </row>
    <row r="62">
      <c r="A62" s="18" t="n"/>
      <c r="B62" s="18" t="n"/>
      <c r="C62" s="22" t="n"/>
      <c r="D62" s="31" t="n"/>
      <c r="E62" s="18" t="n"/>
      <c r="F62" s="18" t="n"/>
      <c r="G62" s="18" t="n"/>
    </row>
    <row r="63">
      <c r="A63" s="18" t="n"/>
      <c r="B63" s="18" t="n"/>
      <c r="C63" s="22" t="n"/>
      <c r="D63" s="31" t="n"/>
      <c r="E63" s="18" t="n"/>
      <c r="F63" s="18" t="n"/>
      <c r="G63" s="18" t="n"/>
    </row>
    <row r="64">
      <c r="A64" s="18" t="n"/>
      <c r="B64" s="18" t="n"/>
      <c r="C64" s="22" t="n"/>
      <c r="D64" s="31" t="n"/>
      <c r="E64" s="18" t="n"/>
      <c r="F64" s="18" t="n"/>
      <c r="G64" s="18" t="n"/>
    </row>
    <row r="65">
      <c r="A65" s="18" t="n"/>
      <c r="B65" s="18" t="n"/>
      <c r="C65" s="22" t="n"/>
      <c r="D65" s="31" t="n"/>
      <c r="E65" s="18" t="n"/>
      <c r="F65" s="18" t="n"/>
      <c r="G65" s="18" t="n"/>
    </row>
    <row r="66">
      <c r="A66" s="18" t="n"/>
      <c r="B66" s="18" t="n"/>
      <c r="C66" s="22" t="n"/>
      <c r="D66" s="31" t="n"/>
      <c r="E66" s="18" t="n"/>
      <c r="F66" s="18" t="n"/>
      <c r="G66" s="18" t="n"/>
    </row>
    <row r="67">
      <c r="A67" s="18" t="n"/>
      <c r="B67" s="18" t="n"/>
      <c r="C67" s="22" t="n"/>
      <c r="D67" s="31" t="n"/>
      <c r="E67" s="18" t="n"/>
      <c r="F67" s="18" t="n"/>
      <c r="G67" s="18" t="n"/>
    </row>
    <row r="68">
      <c r="A68" s="18" t="n"/>
      <c r="B68" s="18" t="n"/>
      <c r="C68" s="22" t="n"/>
      <c r="D68" s="31" t="n"/>
      <c r="E68" s="18" t="n"/>
      <c r="F68" s="18" t="n"/>
      <c r="G68" s="18" t="n"/>
    </row>
    <row r="69">
      <c r="A69" s="18" t="n"/>
      <c r="B69" s="18" t="n"/>
      <c r="C69" s="22" t="n"/>
      <c r="D69" s="31" t="n"/>
      <c r="E69" s="18" t="n"/>
      <c r="F69" s="18" t="n"/>
      <c r="G69" s="18" t="n"/>
    </row>
    <row r="70">
      <c r="A70" s="18" t="n"/>
      <c r="B70" s="18" t="n"/>
      <c r="C70" s="22" t="n"/>
      <c r="D70" s="31" t="n"/>
      <c r="E70" s="18" t="n"/>
      <c r="F70" s="18" t="n"/>
      <c r="G70" s="18" t="n"/>
    </row>
    <row r="71">
      <c r="A71" s="18" t="n"/>
      <c r="B71" s="18" t="n"/>
      <c r="C71" s="22" t="n"/>
      <c r="D71" s="31" t="n"/>
      <c r="E71" s="18" t="n"/>
      <c r="F71" s="18" t="n"/>
      <c r="G71" s="18" t="n"/>
    </row>
    <row r="72">
      <c r="A72" s="18" t="n"/>
      <c r="B72" s="18" t="n"/>
      <c r="C72" s="22" t="n"/>
      <c r="D72" s="31" t="n"/>
      <c r="E72" s="18" t="n"/>
      <c r="F72" s="18" t="n"/>
      <c r="G72" s="18" t="n"/>
    </row>
    <row r="73">
      <c r="A73" s="18" t="n"/>
      <c r="B73" s="18" t="n"/>
      <c r="C73" s="22" t="n"/>
      <c r="D73" s="31" t="n"/>
      <c r="E73" s="18" t="n"/>
      <c r="F73" s="18" t="n"/>
      <c r="G73" s="18" t="n"/>
    </row>
    <row r="74">
      <c r="A74" s="18" t="n"/>
      <c r="B74" s="18" t="n"/>
      <c r="C74" s="22" t="n"/>
      <c r="D74" s="31" t="n"/>
      <c r="E74" s="18" t="n"/>
      <c r="F74" s="18" t="n"/>
      <c r="G74" s="18" t="n"/>
    </row>
    <row r="75">
      <c r="A75" s="18" t="n"/>
      <c r="B75" s="18" t="n"/>
      <c r="C75" s="22" t="n"/>
      <c r="D75" s="31" t="n"/>
      <c r="E75" s="18" t="n"/>
      <c r="F75" s="18" t="n"/>
      <c r="G75" s="18" t="n"/>
    </row>
    <row r="76">
      <c r="A76" s="18" t="n"/>
      <c r="B76" s="18" t="n"/>
      <c r="C76" s="22" t="n"/>
      <c r="D76" s="31" t="n"/>
      <c r="E76" s="18" t="n"/>
      <c r="F76" s="18" t="n"/>
      <c r="G76" s="18" t="n"/>
    </row>
    <row r="77">
      <c r="A77" s="18" t="n"/>
      <c r="B77" s="18" t="n"/>
      <c r="C77" s="22" t="n"/>
      <c r="D77" s="31" t="n"/>
      <c r="E77" s="18" t="n"/>
      <c r="F77" s="18" t="n"/>
      <c r="G77" s="18" t="n"/>
    </row>
    <row r="78">
      <c r="A78" s="18" t="n"/>
      <c r="B78" s="18" t="n"/>
      <c r="C78" s="22" t="n"/>
      <c r="D78" s="31" t="n"/>
      <c r="E78" s="18" t="n"/>
      <c r="F78" s="18" t="n"/>
      <c r="G78" s="18" t="n"/>
    </row>
    <row r="79">
      <c r="A79" s="18" t="n"/>
      <c r="B79" s="18" t="n"/>
      <c r="C79" s="22" t="n"/>
      <c r="D79" s="31" t="n"/>
      <c r="E79" s="18" t="n"/>
      <c r="F79" s="18" t="n"/>
      <c r="G79" s="18" t="n"/>
    </row>
    <row r="80">
      <c r="A80" s="18" t="n"/>
      <c r="B80" s="18" t="n"/>
      <c r="C80" s="22" t="n"/>
      <c r="D80" s="31" t="n"/>
      <c r="E80" s="18" t="n"/>
      <c r="F80" s="18" t="n"/>
      <c r="G80" s="18" t="n"/>
    </row>
    <row r="81">
      <c r="A81" s="18" t="n"/>
      <c r="B81" s="18" t="n"/>
      <c r="C81" s="22" t="n"/>
      <c r="D81" s="31" t="n"/>
      <c r="E81" s="18" t="n"/>
      <c r="F81" s="18" t="n"/>
      <c r="G81" s="18" t="n"/>
    </row>
    <row r="82">
      <c r="A82" s="18" t="n"/>
      <c r="B82" s="18" t="n"/>
      <c r="C82" s="22" t="n"/>
      <c r="D82" s="31" t="n"/>
      <c r="E82" s="18" t="n"/>
      <c r="F82" s="18" t="n"/>
      <c r="G82" s="18" t="n"/>
    </row>
    <row r="83">
      <c r="A83" s="18" t="n"/>
      <c r="B83" s="18" t="n"/>
      <c r="C83" s="22" t="n"/>
      <c r="D83" s="31" t="n"/>
      <c r="E83" s="18" t="n"/>
      <c r="F83" s="18" t="n"/>
      <c r="G83" s="18" t="n"/>
    </row>
    <row r="84">
      <c r="A84" s="18" t="n"/>
      <c r="B84" s="18" t="n"/>
      <c r="C84" s="22" t="n"/>
      <c r="D84" s="31" t="n"/>
      <c r="E84" s="18" t="n"/>
      <c r="F84" s="18" t="n"/>
      <c r="G84" s="18" t="n"/>
    </row>
    <row r="85">
      <c r="A85" s="18" t="n"/>
      <c r="B85" s="18" t="n"/>
      <c r="C85" s="22" t="n"/>
      <c r="D85" s="31" t="n"/>
      <c r="E85" s="18" t="n"/>
      <c r="F85" s="18" t="n"/>
      <c r="G85" s="18" t="n"/>
    </row>
    <row r="86">
      <c r="A86" s="18" t="n"/>
      <c r="B86" s="18" t="n"/>
      <c r="C86" s="22" t="n"/>
      <c r="D86" s="31" t="n"/>
      <c r="E86" s="18" t="n"/>
      <c r="F86" s="18" t="n"/>
      <c r="G86" s="18" t="n"/>
    </row>
    <row r="87">
      <c r="A87" s="18" t="n"/>
      <c r="B87" s="18" t="n"/>
      <c r="C87" s="22" t="n"/>
      <c r="D87" s="31" t="n"/>
      <c r="E87" s="18" t="n"/>
      <c r="F87" s="18" t="n"/>
      <c r="G87" s="18" t="n"/>
    </row>
    <row r="88">
      <c r="A88" s="18" t="n"/>
      <c r="B88" s="18" t="n"/>
      <c r="C88" s="22" t="n"/>
      <c r="D88" s="31" t="n"/>
      <c r="E88" s="18" t="n"/>
      <c r="F88" s="18" t="n"/>
      <c r="G88" s="18" t="n"/>
    </row>
  </sheetData>
  <conditionalFormatting sqref="A8:G88">
    <cfRule type="expression" priority="1" dxfId="0" stopIfTrue="1">
      <formula>AND(ISNUMBER($D8),$D8&lt;TODAY(),$F8&lt;&gt;"Oui",N($C8)&gt;0)</formula>
    </cfRule>
    <cfRule type="expression" priority="2" dxfId="1" stopIfTrue="1">
      <formula>AND(ISNUMBER($D8),$D8&gt;=TODAY(),$D8&lt;=TODAY()+7,$F8&lt;&gt;"Oui",N($C8)&gt;0)</formula>
    </cfRule>
    <cfRule type="expression" priority="3" dxfId="2">
      <formula>$F8="Oui"</formula>
    </cfRule>
  </conditionalFormatting>
  <dataValidations count="4">
    <dataValidation sqref="A59:A88" showDropDown="0" showInputMessage="0" showErrorMessage="0" allowBlank="1" type="list">
      <formula1>=Paramètres!$A$4:$A$33</formula1>
    </dataValidation>
    <dataValidation sqref="E59:E88" showDropDown="0" showInputMessage="0" showErrorMessage="0" allowBlank="1" type="list">
      <formula1>=Paramètres!$C$4:$C$13</formula1>
    </dataValidation>
    <dataValidation sqref="F8:F88" showDropDown="0" showInputMessage="0" showErrorMessage="0" allowBlank="1" type="list">
      <formula1>=Paramètres!$E$4:$E$5</formula1>
    </dataValidation>
    <dataValidation sqref="D59:D88" showDropDown="0" showInputMessage="0" showErrorMessage="1" allowBlank="1" error="Entrez une date (jj/mm/aaaa)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2026-09-30T20:39:44Z</dcterms:created>
  <dcterms:modified xsi:type="dcterms:W3CDTF">2026-09-30T20:39:45Z</dcterms:modified>
</cp:coreProperties>
</file>